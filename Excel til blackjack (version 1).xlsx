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mu\OneDrive\Dokumenter\DTU\1_Semester\Introduktion_til_intellegente_systemer\Eksamens_Projekt\Blackjack\"/>
    </mc:Choice>
  </mc:AlternateContent>
  <xr:revisionPtr revIDLastSave="0" documentId="13_ncr:1_{A4A7E9D3-E4A0-4B18-ACB4-6C326C75B994}" xr6:coauthVersionLast="47" xr6:coauthVersionMax="47" xr10:uidLastSave="{00000000-0000-0000-0000-000000000000}"/>
  <bookViews>
    <workbookView xWindow="-110" yWindow="-110" windowWidth="19420" windowHeight="10300" xr2:uid="{61CCB56F-B35F-4665-8255-39D6D0CB89B9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3" i="1" l="1"/>
  <c r="BK6" i="1"/>
  <c r="BI6" i="1"/>
  <c r="BK5" i="1"/>
  <c r="BK4" i="1"/>
  <c r="BK3" i="1"/>
  <c r="BI5" i="1"/>
  <c r="BI4" i="1"/>
  <c r="AP38" i="1"/>
  <c r="AT41" i="1"/>
  <c r="AT38" i="1"/>
  <c r="AP41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4" i="1"/>
  <c r="E3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4" i="1"/>
  <c r="D3" i="1"/>
  <c r="C26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5" i="1"/>
  <c r="C4" i="1"/>
  <c r="C3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5" i="1"/>
  <c r="B4" i="1"/>
  <c r="B3" i="1"/>
  <c r="AP44" i="1" l="1"/>
</calcChain>
</file>

<file path=xl/sharedStrings.xml><?xml version="1.0" encoding="utf-8"?>
<sst xmlns="http://schemas.openxmlformats.org/spreadsheetml/2006/main" count="151" uniqueCount="43">
  <si>
    <t>1 Deck - CA</t>
  </si>
  <si>
    <t>2 Deck - CA</t>
  </si>
  <si>
    <t>6 Deck - CA</t>
  </si>
  <si>
    <t>1 Deck - BA</t>
  </si>
  <si>
    <t>1 deck</t>
  </si>
  <si>
    <t>2 deck</t>
  </si>
  <si>
    <t>6 deck</t>
  </si>
  <si>
    <t>Slut winrate</t>
  </si>
  <si>
    <t>slut winrate</t>
  </si>
  <si>
    <t>CA (counting agent)</t>
  </si>
  <si>
    <t>BA (basic agent)</t>
  </si>
  <si>
    <t>&lt;- 1.200.000 runs - 500.000 eval</t>
  </si>
  <si>
    <t>Total:</t>
  </si>
  <si>
    <t>Total evaluering efter 500.000</t>
  </si>
  <si>
    <t>forskel:</t>
  </si>
  <si>
    <t>---&gt;</t>
  </si>
  <si>
    <t>STD:</t>
  </si>
  <si>
    <t>Der bruges two sample confidence interval</t>
  </si>
  <si>
    <t>0.4737</t>
  </si>
  <si>
    <t>CA - 1 deck</t>
  </si>
  <si>
    <t>BA - 1 deck</t>
  </si>
  <si>
    <t>CA - 2 deck</t>
  </si>
  <si>
    <t>CA - 6 deck</t>
  </si>
  <si>
    <t>Videregnet i python</t>
  </si>
  <si>
    <t>1 Deck CA</t>
  </si>
  <si>
    <t>2 Deck CA</t>
  </si>
  <si>
    <t>6 Deck CA</t>
  </si>
  <si>
    <t>1 Deck BA</t>
  </si>
  <si>
    <t>…</t>
  </si>
  <si>
    <t>Konfidens interval med BA</t>
  </si>
  <si>
    <t>[-0.00340 ; -0.00067]</t>
  </si>
  <si>
    <t>[-0.00057 ; 0.00206]</t>
  </si>
  <si>
    <t>[0.00383 ; 0.00564]</t>
  </si>
  <si>
    <t>Win-rate %</t>
  </si>
  <si>
    <t>42,39%</t>
  </si>
  <si>
    <t>41,98%</t>
  </si>
  <si>
    <t>41,70%</t>
  </si>
  <si>
    <t>41,90%</t>
  </si>
  <si>
    <t>WINRATE</t>
  </si>
  <si>
    <t>STD</t>
  </si>
  <si>
    <t>DETTE ER DATAOVERSIGT OVER CA OG BA</t>
  </si>
  <si>
    <t>Deres slutwinrate noteret</t>
  </si>
  <si>
    <t>Dette er gennemsnit udviklingen for 5 forskellige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</si>
</sst>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name val="Aptos Narrow"/>
      <family val="2"/>
      <scheme val="minor"/>
    </font>
    <font>
      <sz val="11"/>
      <name val="Consolas"/>
      <family val="3"/>
    </font>
    <font>
      <sz val="11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2" xfId="0" applyFont="1" applyBorder="1"/>
    <xf numFmtId="0" fontId="1" fillId="0" borderId="3" xfId="0" applyFont="1" applyBorder="1"/>
    <xf numFmtId="0" fontId="1" fillId="0" borderId="1" xfId="0" applyFont="1" applyBorder="1"/>
    <xf numFmtId="0" fontId="0" fillId="0" borderId="0" xfId="0" quotePrefix="1"/>
    <xf numFmtId="10" fontId="0" fillId="0" borderId="0" xfId="0" applyNumberFormat="1"/>
    <xf numFmtId="9" fontId="0" fillId="0" borderId="0" xfId="0" quotePrefix="1" applyNumberForma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Border="1"/>
    <xf numFmtId="0" fontId="0" fillId="0" borderId="2" xfId="0" applyFill="1" applyBorder="1"/>
    <xf numFmtId="0" fontId="0" fillId="0" borderId="3" xfId="0" applyFill="1" applyBorder="1"/>
    <xf numFmtId="0" fontId="3" fillId="0" borderId="0" xfId="0" applyFont="1" applyBorder="1"/>
    <xf numFmtId="0" fontId="3" fillId="0" borderId="2" xfId="0" applyFont="1" applyBorder="1"/>
    <xf numFmtId="0" fontId="0" fillId="0" borderId="15" xfId="0" applyBorder="1"/>
    <xf numFmtId="0" fontId="0" fillId="2" borderId="15" xfId="0" applyFill="1" applyBorder="1"/>
    <xf numFmtId="0" fontId="0" fillId="3" borderId="15" xfId="0" applyFill="1" applyBorder="1"/>
    <xf numFmtId="0" fontId="4" fillId="0" borderId="15" xfId="0" applyFont="1" applyBorder="1"/>
    <xf numFmtId="0" fontId="5" fillId="0" borderId="15" xfId="0" applyFont="1" applyBorder="1"/>
    <xf numFmtId="0" fontId="0" fillId="4" borderId="1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Træningsudvikling</a:t>
            </a:r>
            <a:r>
              <a:rPr lang="da-DK" baseline="0"/>
              <a:t> 1.200.000 episoder</a:t>
            </a:r>
            <a:endParaRPr lang="da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'Ark1'!$B$2</c:f>
              <c:strCache>
                <c:ptCount val="1"/>
                <c:pt idx="0">
                  <c:v>1 Deck - 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'Ark1'!$A$3:$A$26</c:f>
              <c:numCache>
                <c:formatCode>General</c:formatCode>
                <c:ptCount val="24"/>
                <c:pt idx="0">
                  <c:v>50000</c:v>
                </c:pt>
                <c:pt idx="1">
                  <c:v>100000</c:v>
                </c:pt>
                <c:pt idx="2">
                  <c:v>150000</c:v>
                </c:pt>
                <c:pt idx="3">
                  <c:v>200000</c:v>
                </c:pt>
                <c:pt idx="4">
                  <c:v>250000</c:v>
                </c:pt>
                <c:pt idx="5">
                  <c:v>300000</c:v>
                </c:pt>
                <c:pt idx="6">
                  <c:v>350000</c:v>
                </c:pt>
                <c:pt idx="7">
                  <c:v>400000</c:v>
                </c:pt>
                <c:pt idx="8">
                  <c:v>450000</c:v>
                </c:pt>
                <c:pt idx="9">
                  <c:v>500000</c:v>
                </c:pt>
                <c:pt idx="10">
                  <c:v>550000</c:v>
                </c:pt>
                <c:pt idx="11">
                  <c:v>600000</c:v>
                </c:pt>
                <c:pt idx="12">
                  <c:v>650000</c:v>
                </c:pt>
                <c:pt idx="13">
                  <c:v>700000</c:v>
                </c:pt>
                <c:pt idx="14">
                  <c:v>750000</c:v>
                </c:pt>
                <c:pt idx="15">
                  <c:v>800000</c:v>
                </c:pt>
                <c:pt idx="16">
                  <c:v>850000</c:v>
                </c:pt>
                <c:pt idx="17">
                  <c:v>900000</c:v>
                </c:pt>
                <c:pt idx="18">
                  <c:v>950000</c:v>
                </c:pt>
                <c:pt idx="19">
                  <c:v>1000000</c:v>
                </c:pt>
                <c:pt idx="20">
                  <c:v>1050000</c:v>
                </c:pt>
                <c:pt idx="21">
                  <c:v>1100000</c:v>
                </c:pt>
                <c:pt idx="22">
                  <c:v>1150000</c:v>
                </c:pt>
                <c:pt idx="23">
                  <c:v>1200000</c:v>
                </c:pt>
              </c:numCache>
            </c:numRef>
          </c:cat>
          <c:val>
            <c:numRef>
              <c:f>'Ark1'!$B$3:$B$26</c:f>
              <c:numCache>
                <c:formatCode>General</c:formatCode>
                <c:ptCount val="24"/>
                <c:pt idx="0">
                  <c:v>0.29799999999999993</c:v>
                </c:pt>
                <c:pt idx="1">
                  <c:v>0.31219999999999998</c:v>
                </c:pt>
                <c:pt idx="2">
                  <c:v>0.32340000000000002</c:v>
                </c:pt>
                <c:pt idx="3">
                  <c:v>0.33360000000000001</c:v>
                </c:pt>
                <c:pt idx="4">
                  <c:v>0.34200000000000003</c:v>
                </c:pt>
                <c:pt idx="5">
                  <c:v>0.34939999999999999</c:v>
                </c:pt>
                <c:pt idx="6">
                  <c:v>0.35580000000000001</c:v>
                </c:pt>
                <c:pt idx="7">
                  <c:v>0.36140000000000005</c:v>
                </c:pt>
                <c:pt idx="8">
                  <c:v>0.36639999999999995</c:v>
                </c:pt>
                <c:pt idx="9">
                  <c:v>0.37080000000000002</c:v>
                </c:pt>
                <c:pt idx="10">
                  <c:v>0.37439999999999996</c:v>
                </c:pt>
                <c:pt idx="11">
                  <c:v>0.37780000000000002</c:v>
                </c:pt>
                <c:pt idx="12">
                  <c:v>0.38079999999999997</c:v>
                </c:pt>
                <c:pt idx="13">
                  <c:v>0.38319999999999999</c:v>
                </c:pt>
                <c:pt idx="14">
                  <c:v>0.3856</c:v>
                </c:pt>
                <c:pt idx="15">
                  <c:v>0.38740000000000002</c:v>
                </c:pt>
                <c:pt idx="16">
                  <c:v>0.38920000000000005</c:v>
                </c:pt>
                <c:pt idx="17">
                  <c:v>0.39060000000000006</c:v>
                </c:pt>
                <c:pt idx="18">
                  <c:v>0.39200000000000002</c:v>
                </c:pt>
                <c:pt idx="19">
                  <c:v>0.39319999999999999</c:v>
                </c:pt>
                <c:pt idx="20">
                  <c:v>0.39419999999999999</c:v>
                </c:pt>
                <c:pt idx="21">
                  <c:v>0.3952</c:v>
                </c:pt>
                <c:pt idx="22">
                  <c:v>0.39620000000000005</c:v>
                </c:pt>
                <c:pt idx="23">
                  <c:v>0.39700000000000002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4-427A-A7CB-30D18FAA8DBB}"/>
            </c:ext>
          </c:extLst>
        </c:ser>
        <c:ser>
          <c:idx val="1"/>
          <c:order val="1"/>
          <c:tx>
            <c:strRef>
              <c:f>'Ark1'!$C$2</c:f>
              <c:strCache>
                <c:ptCount val="1"/>
                <c:pt idx="0">
                  <c:v>2 Deck - 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'Ark1'!$A$3:$A$26</c:f>
              <c:numCache>
                <c:formatCode>General</c:formatCode>
                <c:ptCount val="24"/>
                <c:pt idx="0">
                  <c:v>50000</c:v>
                </c:pt>
                <c:pt idx="1">
                  <c:v>100000</c:v>
                </c:pt>
                <c:pt idx="2">
                  <c:v>150000</c:v>
                </c:pt>
                <c:pt idx="3">
                  <c:v>200000</c:v>
                </c:pt>
                <c:pt idx="4">
                  <c:v>250000</c:v>
                </c:pt>
                <c:pt idx="5">
                  <c:v>300000</c:v>
                </c:pt>
                <c:pt idx="6">
                  <c:v>350000</c:v>
                </c:pt>
                <c:pt idx="7">
                  <c:v>400000</c:v>
                </c:pt>
                <c:pt idx="8">
                  <c:v>450000</c:v>
                </c:pt>
                <c:pt idx="9">
                  <c:v>500000</c:v>
                </c:pt>
                <c:pt idx="10">
                  <c:v>550000</c:v>
                </c:pt>
                <c:pt idx="11">
                  <c:v>600000</c:v>
                </c:pt>
                <c:pt idx="12">
                  <c:v>650000</c:v>
                </c:pt>
                <c:pt idx="13">
                  <c:v>700000</c:v>
                </c:pt>
                <c:pt idx="14">
                  <c:v>750000</c:v>
                </c:pt>
                <c:pt idx="15">
                  <c:v>800000</c:v>
                </c:pt>
                <c:pt idx="16">
                  <c:v>850000</c:v>
                </c:pt>
                <c:pt idx="17">
                  <c:v>900000</c:v>
                </c:pt>
                <c:pt idx="18">
                  <c:v>950000</c:v>
                </c:pt>
                <c:pt idx="19">
                  <c:v>1000000</c:v>
                </c:pt>
                <c:pt idx="20">
                  <c:v>1050000</c:v>
                </c:pt>
                <c:pt idx="21">
                  <c:v>1100000</c:v>
                </c:pt>
                <c:pt idx="22">
                  <c:v>1150000</c:v>
                </c:pt>
                <c:pt idx="23">
                  <c:v>1200000</c:v>
                </c:pt>
              </c:numCache>
            </c:numRef>
          </c:cat>
          <c:val>
            <c:numRef>
              <c:f>'Ark1'!$C$3:$C$26</c:f>
              <c:numCache>
                <c:formatCode>General</c:formatCode>
                <c:ptCount val="24"/>
                <c:pt idx="0">
                  <c:v>0.29860000000000003</c:v>
                </c:pt>
                <c:pt idx="1">
                  <c:v>0.31120000000000003</c:v>
                </c:pt>
                <c:pt idx="2">
                  <c:v>0.3216</c:v>
                </c:pt>
                <c:pt idx="3">
                  <c:v>0.33100000000000002</c:v>
                </c:pt>
                <c:pt idx="4">
                  <c:v>0.33979999999999999</c:v>
                </c:pt>
                <c:pt idx="5">
                  <c:v>0.34719999999999995</c:v>
                </c:pt>
                <c:pt idx="6">
                  <c:v>0.35339999999999999</c:v>
                </c:pt>
                <c:pt idx="7">
                  <c:v>0.35880000000000001</c:v>
                </c:pt>
                <c:pt idx="8">
                  <c:v>0.36360000000000003</c:v>
                </c:pt>
                <c:pt idx="9">
                  <c:v>0.36819999999999997</c:v>
                </c:pt>
                <c:pt idx="10">
                  <c:v>0.37119999999999997</c:v>
                </c:pt>
                <c:pt idx="11">
                  <c:v>0.37519999999999998</c:v>
                </c:pt>
                <c:pt idx="12">
                  <c:v>0.37780000000000002</c:v>
                </c:pt>
                <c:pt idx="13">
                  <c:v>0.38019999999999998</c:v>
                </c:pt>
                <c:pt idx="14">
                  <c:v>0.38200000000000001</c:v>
                </c:pt>
                <c:pt idx="15">
                  <c:v>0.38380000000000003</c:v>
                </c:pt>
                <c:pt idx="16">
                  <c:v>0.38580000000000003</c:v>
                </c:pt>
                <c:pt idx="17">
                  <c:v>0.38719999999999999</c:v>
                </c:pt>
                <c:pt idx="18">
                  <c:v>0.38879999999999998</c:v>
                </c:pt>
                <c:pt idx="19">
                  <c:v>0.38980000000000004</c:v>
                </c:pt>
                <c:pt idx="20">
                  <c:v>0.39080000000000004</c:v>
                </c:pt>
                <c:pt idx="21">
                  <c:v>0.39180000000000004</c:v>
                </c:pt>
                <c:pt idx="22">
                  <c:v>0.3926</c:v>
                </c:pt>
                <c:pt idx="23">
                  <c:v>0.39340000000000003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14-427A-A7CB-30D18FAA8DBB}"/>
            </c:ext>
          </c:extLst>
        </c:ser>
        <c:ser>
          <c:idx val="2"/>
          <c:order val="2"/>
          <c:tx>
            <c:strRef>
              <c:f>'Ark1'!$D$2</c:f>
              <c:strCache>
                <c:ptCount val="1"/>
                <c:pt idx="0">
                  <c:v>6 Deck - 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'Ark1'!$A$3:$A$26</c:f>
              <c:numCache>
                <c:formatCode>General</c:formatCode>
                <c:ptCount val="24"/>
                <c:pt idx="0">
                  <c:v>50000</c:v>
                </c:pt>
                <c:pt idx="1">
                  <c:v>100000</c:v>
                </c:pt>
                <c:pt idx="2">
                  <c:v>150000</c:v>
                </c:pt>
                <c:pt idx="3">
                  <c:v>200000</c:v>
                </c:pt>
                <c:pt idx="4">
                  <c:v>250000</c:v>
                </c:pt>
                <c:pt idx="5">
                  <c:v>300000</c:v>
                </c:pt>
                <c:pt idx="6">
                  <c:v>350000</c:v>
                </c:pt>
                <c:pt idx="7">
                  <c:v>400000</c:v>
                </c:pt>
                <c:pt idx="8">
                  <c:v>450000</c:v>
                </c:pt>
                <c:pt idx="9">
                  <c:v>500000</c:v>
                </c:pt>
                <c:pt idx="10">
                  <c:v>550000</c:v>
                </c:pt>
                <c:pt idx="11">
                  <c:v>600000</c:v>
                </c:pt>
                <c:pt idx="12">
                  <c:v>650000</c:v>
                </c:pt>
                <c:pt idx="13">
                  <c:v>700000</c:v>
                </c:pt>
                <c:pt idx="14">
                  <c:v>750000</c:v>
                </c:pt>
                <c:pt idx="15">
                  <c:v>800000</c:v>
                </c:pt>
                <c:pt idx="16">
                  <c:v>850000</c:v>
                </c:pt>
                <c:pt idx="17">
                  <c:v>900000</c:v>
                </c:pt>
                <c:pt idx="18">
                  <c:v>950000</c:v>
                </c:pt>
                <c:pt idx="19">
                  <c:v>1000000</c:v>
                </c:pt>
                <c:pt idx="20">
                  <c:v>1050000</c:v>
                </c:pt>
                <c:pt idx="21">
                  <c:v>1100000</c:v>
                </c:pt>
                <c:pt idx="22">
                  <c:v>1150000</c:v>
                </c:pt>
                <c:pt idx="23">
                  <c:v>1200000</c:v>
                </c:pt>
              </c:numCache>
            </c:numRef>
          </c:cat>
          <c:val>
            <c:numRef>
              <c:f>'Ark1'!$D$3:$D$26</c:f>
              <c:numCache>
                <c:formatCode>General</c:formatCode>
                <c:ptCount val="24"/>
                <c:pt idx="0">
                  <c:v>0.2954</c:v>
                </c:pt>
                <c:pt idx="1">
                  <c:v>0.30859999999999999</c:v>
                </c:pt>
                <c:pt idx="2">
                  <c:v>0.31940000000000002</c:v>
                </c:pt>
                <c:pt idx="3">
                  <c:v>0.32940000000000003</c:v>
                </c:pt>
                <c:pt idx="4">
                  <c:v>0.33800000000000002</c:v>
                </c:pt>
                <c:pt idx="5">
                  <c:v>0.34519999999999995</c:v>
                </c:pt>
                <c:pt idx="6">
                  <c:v>0.35199999999999998</c:v>
                </c:pt>
                <c:pt idx="7">
                  <c:v>0.35699999999999998</c:v>
                </c:pt>
                <c:pt idx="8">
                  <c:v>0.36160000000000003</c:v>
                </c:pt>
                <c:pt idx="9">
                  <c:v>0.36560000000000004</c:v>
                </c:pt>
                <c:pt idx="10">
                  <c:v>0.36940000000000006</c:v>
                </c:pt>
                <c:pt idx="11">
                  <c:v>0.37280000000000002</c:v>
                </c:pt>
                <c:pt idx="12">
                  <c:v>0.37580000000000002</c:v>
                </c:pt>
                <c:pt idx="13">
                  <c:v>0.378</c:v>
                </c:pt>
                <c:pt idx="14">
                  <c:v>0.38</c:v>
                </c:pt>
                <c:pt idx="15">
                  <c:v>0.38200000000000001</c:v>
                </c:pt>
                <c:pt idx="16">
                  <c:v>0.3836</c:v>
                </c:pt>
                <c:pt idx="17">
                  <c:v>0.38500000000000001</c:v>
                </c:pt>
                <c:pt idx="18">
                  <c:v>0.38619999999999999</c:v>
                </c:pt>
                <c:pt idx="19">
                  <c:v>0.38740000000000008</c:v>
                </c:pt>
                <c:pt idx="20">
                  <c:v>0.38860000000000006</c:v>
                </c:pt>
                <c:pt idx="21">
                  <c:v>0.38940000000000002</c:v>
                </c:pt>
                <c:pt idx="22">
                  <c:v>0.39019999999999999</c:v>
                </c:pt>
                <c:pt idx="23">
                  <c:v>0.39120000000000005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14-427A-A7CB-30D18FAA8DBB}"/>
            </c:ext>
          </c:extLst>
        </c:ser>
        <c:ser>
          <c:idx val="3"/>
          <c:order val="3"/>
          <c:tx>
            <c:strRef>
              <c:f>'Ark1'!$E$2</c:f>
              <c:strCache>
                <c:ptCount val="1"/>
                <c:pt idx="0">
                  <c:v>1 Deck - BA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'Ark1'!$A$3:$A$26</c:f>
              <c:numCache>
                <c:formatCode>General</c:formatCode>
                <c:ptCount val="24"/>
                <c:pt idx="0">
                  <c:v>50000</c:v>
                </c:pt>
                <c:pt idx="1">
                  <c:v>100000</c:v>
                </c:pt>
                <c:pt idx="2">
                  <c:v>150000</c:v>
                </c:pt>
                <c:pt idx="3">
                  <c:v>200000</c:v>
                </c:pt>
                <c:pt idx="4">
                  <c:v>250000</c:v>
                </c:pt>
                <c:pt idx="5">
                  <c:v>300000</c:v>
                </c:pt>
                <c:pt idx="6">
                  <c:v>350000</c:v>
                </c:pt>
                <c:pt idx="7">
                  <c:v>400000</c:v>
                </c:pt>
                <c:pt idx="8">
                  <c:v>450000</c:v>
                </c:pt>
                <c:pt idx="9">
                  <c:v>500000</c:v>
                </c:pt>
                <c:pt idx="10">
                  <c:v>550000</c:v>
                </c:pt>
                <c:pt idx="11">
                  <c:v>600000</c:v>
                </c:pt>
                <c:pt idx="12">
                  <c:v>650000</c:v>
                </c:pt>
                <c:pt idx="13">
                  <c:v>700000</c:v>
                </c:pt>
                <c:pt idx="14">
                  <c:v>750000</c:v>
                </c:pt>
                <c:pt idx="15">
                  <c:v>800000</c:v>
                </c:pt>
                <c:pt idx="16">
                  <c:v>850000</c:v>
                </c:pt>
                <c:pt idx="17">
                  <c:v>900000</c:v>
                </c:pt>
                <c:pt idx="18">
                  <c:v>950000</c:v>
                </c:pt>
                <c:pt idx="19">
                  <c:v>1000000</c:v>
                </c:pt>
                <c:pt idx="20">
                  <c:v>1050000</c:v>
                </c:pt>
                <c:pt idx="21">
                  <c:v>1100000</c:v>
                </c:pt>
                <c:pt idx="22">
                  <c:v>1150000</c:v>
                </c:pt>
                <c:pt idx="23">
                  <c:v>1200000</c:v>
                </c:pt>
              </c:numCache>
            </c:numRef>
          </c:cat>
          <c:val>
            <c:numRef>
              <c:f>'Ark1'!$E$3:$E$26</c:f>
              <c:numCache>
                <c:formatCode>General</c:formatCode>
                <c:ptCount val="24"/>
                <c:pt idx="0">
                  <c:v>0.29920000000000002</c:v>
                </c:pt>
                <c:pt idx="1">
                  <c:v>0.31280000000000002</c:v>
                </c:pt>
                <c:pt idx="2">
                  <c:v>0.32340000000000002</c:v>
                </c:pt>
                <c:pt idx="3">
                  <c:v>0.33240000000000003</c:v>
                </c:pt>
                <c:pt idx="4">
                  <c:v>0.34020000000000006</c:v>
                </c:pt>
                <c:pt idx="5">
                  <c:v>0.34719999999999995</c:v>
                </c:pt>
                <c:pt idx="6">
                  <c:v>0.35359999999999997</c:v>
                </c:pt>
                <c:pt idx="7">
                  <c:v>0.35899999999999999</c:v>
                </c:pt>
                <c:pt idx="8">
                  <c:v>0.3634</c:v>
                </c:pt>
                <c:pt idx="9">
                  <c:v>0.3674</c:v>
                </c:pt>
                <c:pt idx="10">
                  <c:v>0.37119999999999997</c:v>
                </c:pt>
                <c:pt idx="11">
                  <c:v>0.37419999999999998</c:v>
                </c:pt>
                <c:pt idx="12">
                  <c:v>0.37720000000000004</c:v>
                </c:pt>
                <c:pt idx="13">
                  <c:v>0.37980000000000003</c:v>
                </c:pt>
                <c:pt idx="14">
                  <c:v>0.38180000000000003</c:v>
                </c:pt>
                <c:pt idx="15">
                  <c:v>0.38359999999999994</c:v>
                </c:pt>
                <c:pt idx="16">
                  <c:v>0.38560000000000005</c:v>
                </c:pt>
                <c:pt idx="17">
                  <c:v>0.38700000000000001</c:v>
                </c:pt>
                <c:pt idx="18">
                  <c:v>0.38800000000000001</c:v>
                </c:pt>
                <c:pt idx="19">
                  <c:v>0.38920000000000005</c:v>
                </c:pt>
                <c:pt idx="20">
                  <c:v>0.39</c:v>
                </c:pt>
                <c:pt idx="21">
                  <c:v>0.39140000000000003</c:v>
                </c:pt>
                <c:pt idx="22">
                  <c:v>0.39200000000000002</c:v>
                </c:pt>
                <c:pt idx="23">
                  <c:v>0.39300000000000002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14-427A-A7CB-30D18FAA8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38751"/>
        <c:axId val="15537791"/>
      </c:barChart>
      <c:catAx>
        <c:axId val="1553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5537791"/>
        <c:crosses val="autoZero"/>
        <c:auto val="1"/>
        <c:lblAlgn val="ctr"/>
        <c:lblOffset val="100"/>
        <c:noMultiLvlLbl val="0"/>
      </c:catAx>
      <c:valAx>
        <c:axId val="1553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553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164742</xdr:colOff>
      <xdr:row>29</xdr:row>
      <xdr:rowOff>70422</xdr:rowOff>
    </xdr:from>
    <xdr:to>
      <xdr:col>5</xdr:col>
      <xdr:colOff>1287135</xdr:colOff>
      <xdr:row>44</xdr:row>
      <xdr:rowOff>54563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F6E4F7-A01E-0A3D-E842-59D3F6EC95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8511D-B529-44E4-A765-8AAE8EC76BB3}">
  <dimension ref="A1:BP45"/>
  <sheetViews>
    <sheetView tabSelected="1" topLeftCell="BC1" zoomScale="81" zoomScaleNormal="81" workbookViewId="0">
      <selection activeCell="BK21" sqref="BK21"/>
    </sheetView>
  </sheetViews>
  <sheetFormatPr defaultRowHeight="14.5" x14ac:dyDescent="0.35"/>
  <cols>
    <col min="1" max="1" width="9.08984375" bestFit="1" customWidth="1"/>
    <col min="2" max="4" width="10.08984375" bestFit="1" customWidth="1"/>
    <col min="5" max="5" width="9.90625" bestFit="1" customWidth="1"/>
    <col min="6" max="6" width="27.36328125" bestFit="1" customWidth="1"/>
    <col min="7" max="7" width="26.54296875" bestFit="1" customWidth="1"/>
    <col min="10" max="10" width="10.08984375" bestFit="1" customWidth="1"/>
    <col min="16" max="16" width="10.26953125" bestFit="1" customWidth="1"/>
    <col min="18" max="18" width="10.08984375" bestFit="1" customWidth="1"/>
    <col min="24" max="24" width="10.1796875" bestFit="1" customWidth="1"/>
    <col min="26" max="26" width="10.08984375" bestFit="1" customWidth="1"/>
    <col min="32" max="32" width="10.1796875" bestFit="1" customWidth="1"/>
    <col min="33" max="33" width="10.7265625" customWidth="1"/>
    <col min="34" max="34" width="9.90625" bestFit="1" customWidth="1"/>
    <col min="40" max="40" width="10.1796875" bestFit="1" customWidth="1"/>
    <col min="42" max="42" width="12.453125" bestFit="1" customWidth="1"/>
    <col min="43" max="43" width="13.54296875" bestFit="1" customWidth="1"/>
    <col min="44" max="44" width="9.453125" bestFit="1" customWidth="1"/>
    <col min="45" max="45" width="9.81640625" bestFit="1" customWidth="1"/>
    <col min="46" max="46" width="10.26953125" customWidth="1"/>
    <col min="47" max="47" width="9.26953125" bestFit="1" customWidth="1"/>
    <col min="60" max="60" width="9.81640625" bestFit="1" customWidth="1"/>
    <col min="65" max="65" width="16.26953125" bestFit="1" customWidth="1"/>
    <col min="66" max="66" width="10.7265625" customWidth="1"/>
    <col min="67" max="67" width="10.81640625" customWidth="1"/>
    <col min="68" max="68" width="26.6328125" customWidth="1"/>
    <col min="69" max="69" width="9.08984375" bestFit="1" customWidth="1"/>
    <col min="70" max="70" width="8.90625" bestFit="1" customWidth="1"/>
  </cols>
  <sheetData>
    <row r="1" spans="1:68" x14ac:dyDescent="0.35">
      <c r="AQ1">
        <v>1</v>
      </c>
      <c r="AR1">
        <v>2</v>
      </c>
      <c r="AS1">
        <v>3</v>
      </c>
      <c r="AT1">
        <v>4</v>
      </c>
      <c r="AU1">
        <v>5</v>
      </c>
      <c r="AV1">
        <v>6</v>
      </c>
      <c r="AW1">
        <v>7</v>
      </c>
      <c r="AX1">
        <v>8</v>
      </c>
      <c r="AY1">
        <v>9</v>
      </c>
      <c r="AZ1">
        <v>10</v>
      </c>
      <c r="BA1">
        <v>11</v>
      </c>
      <c r="BB1">
        <v>12</v>
      </c>
      <c r="BC1">
        <v>13</v>
      </c>
      <c r="BD1">
        <v>14</v>
      </c>
      <c r="BE1">
        <v>15</v>
      </c>
    </row>
    <row r="2" spans="1:68" ht="16" x14ac:dyDescent="0.4">
      <c r="A2" s="2"/>
      <c r="B2" s="10" t="s">
        <v>0</v>
      </c>
      <c r="C2" s="10" t="s">
        <v>1</v>
      </c>
      <c r="D2" s="10" t="s">
        <v>2</v>
      </c>
      <c r="E2" s="11" t="s">
        <v>3</v>
      </c>
      <c r="F2" s="1" t="s">
        <v>11</v>
      </c>
      <c r="G2" s="1"/>
      <c r="J2" s="12" t="s">
        <v>0</v>
      </c>
      <c r="K2" s="3">
        <v>1</v>
      </c>
      <c r="L2" s="3">
        <v>2</v>
      </c>
      <c r="M2" s="3">
        <v>3</v>
      </c>
      <c r="N2" s="3">
        <v>4</v>
      </c>
      <c r="O2" s="3">
        <v>5</v>
      </c>
      <c r="P2" s="4"/>
      <c r="R2" s="2" t="s">
        <v>1</v>
      </c>
      <c r="S2" s="3">
        <v>1</v>
      </c>
      <c r="T2" s="3">
        <v>2</v>
      </c>
      <c r="U2" s="3">
        <v>3</v>
      </c>
      <c r="V2" s="3">
        <v>4</v>
      </c>
      <c r="W2" s="3">
        <v>5</v>
      </c>
      <c r="X2" s="4"/>
      <c r="Z2" s="2" t="s">
        <v>2</v>
      </c>
      <c r="AA2" s="3">
        <v>1</v>
      </c>
      <c r="AB2" s="3">
        <v>2</v>
      </c>
      <c r="AC2" s="3">
        <v>3</v>
      </c>
      <c r="AD2" s="3">
        <v>4</v>
      </c>
      <c r="AE2" s="3">
        <v>5</v>
      </c>
      <c r="AF2" s="4"/>
      <c r="AH2" s="2" t="s">
        <v>3</v>
      </c>
      <c r="AI2" s="3">
        <v>1</v>
      </c>
      <c r="AJ2" s="3">
        <v>2</v>
      </c>
      <c r="AK2" s="3">
        <v>3</v>
      </c>
      <c r="AL2" s="3">
        <v>4</v>
      </c>
      <c r="AM2" s="3">
        <v>5</v>
      </c>
      <c r="AN2" s="4"/>
      <c r="AP2" s="2" t="s">
        <v>19</v>
      </c>
      <c r="AQ2" s="3">
        <v>0.42498599999999997</v>
      </c>
      <c r="AR2" s="3">
        <v>0.422848</v>
      </c>
      <c r="AS2" s="3">
        <v>0.42413000000000001</v>
      </c>
      <c r="AT2" s="3">
        <v>0.42400199999999999</v>
      </c>
      <c r="AU2" s="3">
        <v>0.42242400000000002</v>
      </c>
      <c r="AV2" s="3">
        <v>0.42546600000000001</v>
      </c>
      <c r="AW2" s="3">
        <v>0.42343599999999998</v>
      </c>
      <c r="AX2" s="3">
        <v>0.42404599999999998</v>
      </c>
      <c r="AY2" s="3">
        <v>0.42409000000000002</v>
      </c>
      <c r="AZ2" s="3">
        <v>0.42347200000000002</v>
      </c>
      <c r="BA2" s="3">
        <v>0.42370200000000002</v>
      </c>
      <c r="BB2" s="3">
        <v>0.42426399999999997</v>
      </c>
      <c r="BC2" s="3">
        <v>0.42355799999999999</v>
      </c>
      <c r="BD2" s="26">
        <v>0.42133399999999999</v>
      </c>
      <c r="BE2" s="4">
        <v>0.42632999999999999</v>
      </c>
      <c r="BI2" t="s">
        <v>38</v>
      </c>
      <c r="BK2" t="s">
        <v>39</v>
      </c>
    </row>
    <row r="3" spans="1:68" x14ac:dyDescent="0.35">
      <c r="A3" s="5">
        <v>50000</v>
      </c>
      <c r="B3">
        <f t="shared" ref="B3:B26" si="0">SUM(K3:O3)/5</f>
        <v>0.29799999999999993</v>
      </c>
      <c r="C3">
        <f>SUM(S3:W3)/5</f>
        <v>0.29860000000000003</v>
      </c>
      <c r="D3">
        <f>SUM(AA3:AE3)/5</f>
        <v>0.2954</v>
      </c>
      <c r="E3" s="6">
        <f t="shared" ref="E3:E26" si="1">SUM(AI3:AM3)/5</f>
        <v>0.29920000000000002</v>
      </c>
      <c r="J3" s="5"/>
      <c r="K3">
        <v>0.29699999999999999</v>
      </c>
      <c r="L3">
        <v>0.29899999999999999</v>
      </c>
      <c r="M3">
        <v>0.29799999999999999</v>
      </c>
      <c r="N3">
        <v>0.29899999999999999</v>
      </c>
      <c r="O3">
        <v>0.29699999999999999</v>
      </c>
      <c r="P3" s="6" t="s">
        <v>4</v>
      </c>
      <c r="R3" s="5"/>
      <c r="S3">
        <v>0.29799999999999999</v>
      </c>
      <c r="T3">
        <v>0.3</v>
      </c>
      <c r="U3">
        <v>0.29899999999999999</v>
      </c>
      <c r="V3">
        <v>0.29799999999999999</v>
      </c>
      <c r="W3">
        <v>0.29799999999999999</v>
      </c>
      <c r="X3" s="6" t="s">
        <v>5</v>
      </c>
      <c r="Z3" s="5"/>
      <c r="AA3">
        <v>0.29499999999999998</v>
      </c>
      <c r="AB3">
        <v>0.29599999999999999</v>
      </c>
      <c r="AC3">
        <v>0.29499999999999998</v>
      </c>
      <c r="AD3">
        <v>0.29499999999999998</v>
      </c>
      <c r="AE3">
        <v>0.29599999999999999</v>
      </c>
      <c r="AF3" s="6" t="s">
        <v>6</v>
      </c>
      <c r="AH3" s="5"/>
      <c r="AI3">
        <v>0.29899999999999999</v>
      </c>
      <c r="AJ3">
        <v>0.29899999999999999</v>
      </c>
      <c r="AK3">
        <v>0.29899999999999999</v>
      </c>
      <c r="AL3">
        <v>0.3</v>
      </c>
      <c r="AM3">
        <v>0.29899999999999999</v>
      </c>
      <c r="AN3" s="6" t="s">
        <v>4</v>
      </c>
      <c r="AP3" s="5" t="s">
        <v>21</v>
      </c>
      <c r="AQ3" s="22">
        <v>0.419346</v>
      </c>
      <c r="AR3" s="22">
        <v>0.41998200000000002</v>
      </c>
      <c r="AS3" s="22">
        <v>0.41711199999999998</v>
      </c>
      <c r="AT3" s="22">
        <v>0.42158400000000001</v>
      </c>
      <c r="AU3" s="22">
        <v>0.41957800000000001</v>
      </c>
      <c r="AV3" s="22">
        <v>0.419906</v>
      </c>
      <c r="AW3" s="22">
        <v>0.42118800000000001</v>
      </c>
      <c r="AX3" s="22">
        <v>0.41877999999999999</v>
      </c>
      <c r="AY3" s="22">
        <v>0.419186</v>
      </c>
      <c r="AZ3" s="22">
        <v>0.42067199999999999</v>
      </c>
      <c r="BA3" s="22">
        <v>0.41838799999999998</v>
      </c>
      <c r="BB3" s="22">
        <v>0.42067199999999999</v>
      </c>
      <c r="BC3" s="22">
        <v>0.42120400000000002</v>
      </c>
      <c r="BD3" s="22">
        <v>0.41902600000000001</v>
      </c>
      <c r="BE3" s="6">
        <v>0.41967199999999999</v>
      </c>
      <c r="BH3" s="2" t="s">
        <v>19</v>
      </c>
      <c r="BI3" s="27">
        <f>SUM(AQ2:BE2)/15</f>
        <v>0.42387253333333341</v>
      </c>
      <c r="BK3">
        <f>_xlfn.STDEV.S(AQ2:BE2)</f>
        <v>1.2012741965255428E-3</v>
      </c>
      <c r="BM3" t="s">
        <v>23</v>
      </c>
    </row>
    <row r="4" spans="1:68" x14ac:dyDescent="0.35">
      <c r="A4" s="5">
        <v>100000</v>
      </c>
      <c r="B4">
        <f t="shared" si="0"/>
        <v>0.31219999999999998</v>
      </c>
      <c r="C4">
        <f>SUM(S4:W4)/5</f>
        <v>0.31120000000000003</v>
      </c>
      <c r="D4">
        <f>SUM(AA4:AE4)/5</f>
        <v>0.30859999999999999</v>
      </c>
      <c r="E4" s="6">
        <f t="shared" si="1"/>
        <v>0.31280000000000002</v>
      </c>
      <c r="J4" s="5"/>
      <c r="K4">
        <v>0.312</v>
      </c>
      <c r="L4">
        <v>0.314</v>
      </c>
      <c r="M4">
        <v>0.314</v>
      </c>
      <c r="N4">
        <v>0.311</v>
      </c>
      <c r="O4">
        <v>0.31</v>
      </c>
      <c r="P4" s="6" t="s">
        <v>4</v>
      </c>
      <c r="R4" s="5"/>
      <c r="S4">
        <v>0.311</v>
      </c>
      <c r="T4">
        <v>0.312</v>
      </c>
      <c r="U4">
        <v>0.312</v>
      </c>
      <c r="V4">
        <v>0.31</v>
      </c>
      <c r="W4">
        <v>0.311</v>
      </c>
      <c r="X4" s="6" t="s">
        <v>5</v>
      </c>
      <c r="Z4" s="5"/>
      <c r="AA4">
        <v>0.308</v>
      </c>
      <c r="AB4">
        <v>0.309</v>
      </c>
      <c r="AC4">
        <v>0.309</v>
      </c>
      <c r="AD4">
        <v>0.308</v>
      </c>
      <c r="AE4">
        <v>0.309</v>
      </c>
      <c r="AF4" s="6" t="s">
        <v>6</v>
      </c>
      <c r="AH4" s="5"/>
      <c r="AI4">
        <v>0.312</v>
      </c>
      <c r="AJ4">
        <v>0.313</v>
      </c>
      <c r="AK4">
        <v>0.312</v>
      </c>
      <c r="AL4">
        <v>0.314</v>
      </c>
      <c r="AM4">
        <v>0.313</v>
      </c>
      <c r="AN4" s="6" t="s">
        <v>4</v>
      </c>
      <c r="AP4" s="5" t="s">
        <v>22</v>
      </c>
      <c r="AQ4" s="22">
        <v>0.41859600000000002</v>
      </c>
      <c r="AR4" s="22">
        <v>0.41438999999999998</v>
      </c>
      <c r="AS4" s="22">
        <v>0.41766599999999998</v>
      </c>
      <c r="AT4" s="22">
        <v>0.41694999999999999</v>
      </c>
      <c r="AU4" s="22">
        <v>0.41811199999999998</v>
      </c>
      <c r="AV4" s="22">
        <v>0.41837600000000003</v>
      </c>
      <c r="AW4" s="22">
        <v>0.41692600000000002</v>
      </c>
      <c r="AX4" s="22">
        <v>0.417074</v>
      </c>
      <c r="AY4" s="22">
        <v>0.41605199999999998</v>
      </c>
      <c r="AZ4" s="22">
        <v>0.416912</v>
      </c>
      <c r="BA4" s="22">
        <v>0.41902600000000001</v>
      </c>
      <c r="BB4" s="22">
        <v>0.41724</v>
      </c>
      <c r="BC4" s="22">
        <v>0.41470800000000002</v>
      </c>
      <c r="BD4" s="22">
        <v>0.41509200000000002</v>
      </c>
      <c r="BE4" s="6">
        <v>0.41746800000000001</v>
      </c>
      <c r="BF4">
        <v>0.41739799999999999</v>
      </c>
      <c r="BH4" s="5" t="s">
        <v>21</v>
      </c>
      <c r="BI4" s="27">
        <f>SUM(AQ3:BE3)/15</f>
        <v>0.41975306666666667</v>
      </c>
      <c r="BK4">
        <f>_xlfn.STDEV.S(AQ3:BE3)</f>
        <v>1.1988043726186282E-3</v>
      </c>
      <c r="BN4" s="32"/>
      <c r="BO4" s="29" t="s">
        <v>33</v>
      </c>
      <c r="BP4" s="29" t="s">
        <v>29</v>
      </c>
    </row>
    <row r="5" spans="1:68" x14ac:dyDescent="0.35">
      <c r="A5" s="5">
        <v>150000</v>
      </c>
      <c r="B5">
        <f t="shared" si="0"/>
        <v>0.32340000000000002</v>
      </c>
      <c r="C5">
        <f>SUM(S5:W5)/5</f>
        <v>0.3216</v>
      </c>
      <c r="D5">
        <f>SUM(AA5:AE5)/5</f>
        <v>0.31940000000000002</v>
      </c>
      <c r="E5" s="6">
        <f t="shared" si="1"/>
        <v>0.32340000000000002</v>
      </c>
      <c r="J5" s="5"/>
      <c r="K5">
        <v>0.32300000000000001</v>
      </c>
      <c r="L5">
        <v>0.32300000000000001</v>
      </c>
      <c r="M5">
        <v>0.32500000000000001</v>
      </c>
      <c r="N5">
        <v>0.32400000000000001</v>
      </c>
      <c r="O5">
        <v>0.32200000000000001</v>
      </c>
      <c r="P5" s="6" t="s">
        <v>4</v>
      </c>
      <c r="R5" s="5"/>
      <c r="S5">
        <v>0.32200000000000001</v>
      </c>
      <c r="T5">
        <v>0.32200000000000001</v>
      </c>
      <c r="U5">
        <v>0.32100000000000001</v>
      </c>
      <c r="V5">
        <v>0.32200000000000001</v>
      </c>
      <c r="W5">
        <v>0.32100000000000001</v>
      </c>
      <c r="X5" s="6" t="s">
        <v>5</v>
      </c>
      <c r="Z5" s="5"/>
      <c r="AA5">
        <v>0.318</v>
      </c>
      <c r="AB5">
        <v>0.32100000000000001</v>
      </c>
      <c r="AC5">
        <v>0.32</v>
      </c>
      <c r="AD5">
        <v>0.31900000000000001</v>
      </c>
      <c r="AE5">
        <v>0.31900000000000001</v>
      </c>
      <c r="AF5" s="6" t="s">
        <v>6</v>
      </c>
      <c r="AH5" s="5"/>
      <c r="AI5">
        <v>0.32400000000000001</v>
      </c>
      <c r="AJ5">
        <v>0.32300000000000001</v>
      </c>
      <c r="AK5">
        <v>0.32300000000000001</v>
      </c>
      <c r="AL5">
        <v>0.32300000000000001</v>
      </c>
      <c r="AM5">
        <v>0.32400000000000001</v>
      </c>
      <c r="AN5" s="6" t="s">
        <v>4</v>
      </c>
      <c r="AP5" s="7" t="s">
        <v>20</v>
      </c>
      <c r="AQ5" s="8">
        <v>0.41470800000000002</v>
      </c>
      <c r="AR5" s="8">
        <v>0.420344</v>
      </c>
      <c r="AS5" s="8">
        <v>0.41836800000000002</v>
      </c>
      <c r="AT5" s="8">
        <v>0.41885600000000001</v>
      </c>
      <c r="AU5" s="8">
        <v>0.41805199999999998</v>
      </c>
      <c r="AV5" s="8">
        <v>0.41742800000000002</v>
      </c>
      <c r="AW5" s="8">
        <v>0.422518</v>
      </c>
      <c r="AX5" s="8">
        <v>0.41620200000000002</v>
      </c>
      <c r="AY5" s="8">
        <v>0.41771000000000003</v>
      </c>
      <c r="AZ5" s="8">
        <v>0.418406</v>
      </c>
      <c r="BA5" s="8">
        <v>0.42065399999999997</v>
      </c>
      <c r="BB5" s="8">
        <v>0.41852400000000001</v>
      </c>
      <c r="BC5" s="8">
        <v>0.42201</v>
      </c>
      <c r="BD5" s="8">
        <v>0.42126599999999997</v>
      </c>
      <c r="BE5" s="9">
        <v>0.42007</v>
      </c>
      <c r="BH5" s="5" t="s">
        <v>22</v>
      </c>
      <c r="BI5" s="27">
        <f>SUM(AQ4:BE4)/15</f>
        <v>0.41697253333333328</v>
      </c>
      <c r="BK5">
        <f>_xlfn.STDEV.S(AQ4:BE4)</f>
        <v>1.3917205110769867E-3</v>
      </c>
      <c r="BN5" s="28" t="s">
        <v>24</v>
      </c>
      <c r="BO5" s="27" t="s">
        <v>34</v>
      </c>
      <c r="BP5" s="30" t="s">
        <v>32</v>
      </c>
    </row>
    <row r="6" spans="1:68" x14ac:dyDescent="0.35">
      <c r="A6" s="5">
        <v>200000</v>
      </c>
      <c r="B6">
        <f t="shared" si="0"/>
        <v>0.33360000000000001</v>
      </c>
      <c r="C6">
        <f>SUM(S6:W6)/5</f>
        <v>0.33100000000000002</v>
      </c>
      <c r="D6">
        <f>SUM(AA6:AE6)/5</f>
        <v>0.32940000000000003</v>
      </c>
      <c r="E6" s="6">
        <f t="shared" si="1"/>
        <v>0.33240000000000003</v>
      </c>
      <c r="F6" t="s">
        <v>42</v>
      </c>
      <c r="J6" s="5"/>
      <c r="K6">
        <v>0.33400000000000002</v>
      </c>
      <c r="L6">
        <v>0.33300000000000002</v>
      </c>
      <c r="M6">
        <v>0.33500000000000002</v>
      </c>
      <c r="N6">
        <v>0.33300000000000002</v>
      </c>
      <c r="O6">
        <v>0.33300000000000002</v>
      </c>
      <c r="P6" s="6" t="s">
        <v>4</v>
      </c>
      <c r="R6" s="5"/>
      <c r="S6">
        <v>0.33200000000000002</v>
      </c>
      <c r="T6">
        <v>0.33200000000000002</v>
      </c>
      <c r="U6">
        <v>0.33</v>
      </c>
      <c r="V6">
        <v>0.33</v>
      </c>
      <c r="W6">
        <v>0.33100000000000002</v>
      </c>
      <c r="X6" s="6" t="s">
        <v>5</v>
      </c>
      <c r="Z6" s="5"/>
      <c r="AA6">
        <v>0.32800000000000001</v>
      </c>
      <c r="AB6">
        <v>0.33</v>
      </c>
      <c r="AC6">
        <v>0.33</v>
      </c>
      <c r="AD6">
        <v>0.33</v>
      </c>
      <c r="AE6">
        <v>0.32900000000000001</v>
      </c>
      <c r="AF6" s="6" t="s">
        <v>6</v>
      </c>
      <c r="AH6" s="5"/>
      <c r="AI6">
        <v>0.33300000000000002</v>
      </c>
      <c r="AJ6">
        <v>0.33200000000000002</v>
      </c>
      <c r="AK6">
        <v>0.33200000000000002</v>
      </c>
      <c r="AL6">
        <v>0.33200000000000002</v>
      </c>
      <c r="AM6">
        <v>0.33300000000000002</v>
      </c>
      <c r="AN6" s="6" t="s">
        <v>4</v>
      </c>
      <c r="AQ6" s="22"/>
      <c r="AR6" s="22"/>
      <c r="AS6" s="22"/>
      <c r="AT6" s="22"/>
      <c r="AU6" s="22"/>
      <c r="BH6" s="7" t="s">
        <v>20</v>
      </c>
      <c r="BI6" s="27">
        <f>SUM(AQ5:BE5)/15</f>
        <v>0.41900773333333335</v>
      </c>
      <c r="BK6">
        <f>_xlfn.STDEV.S(AQ5:BE5)</f>
        <v>2.1471054091718911E-3</v>
      </c>
      <c r="BN6" s="28" t="s">
        <v>25</v>
      </c>
      <c r="BO6" s="27" t="s">
        <v>35</v>
      </c>
      <c r="BP6" s="31" t="s">
        <v>31</v>
      </c>
    </row>
    <row r="7" spans="1:68" x14ac:dyDescent="0.35">
      <c r="A7" s="5">
        <v>250000</v>
      </c>
      <c r="B7">
        <f t="shared" si="0"/>
        <v>0.34200000000000003</v>
      </c>
      <c r="C7">
        <f>SUM(S7:W7)/5</f>
        <v>0.33979999999999999</v>
      </c>
      <c r="D7">
        <f>SUM(AA7:AE7)/5</f>
        <v>0.33800000000000002</v>
      </c>
      <c r="E7" s="6">
        <f t="shared" si="1"/>
        <v>0.34020000000000006</v>
      </c>
      <c r="J7" s="5"/>
      <c r="K7">
        <v>0.34200000000000003</v>
      </c>
      <c r="L7">
        <v>0.34200000000000003</v>
      </c>
      <c r="M7">
        <v>0.34300000000000003</v>
      </c>
      <c r="N7">
        <v>0.34200000000000003</v>
      </c>
      <c r="O7">
        <v>0.34100000000000003</v>
      </c>
      <c r="P7" s="6" t="s">
        <v>4</v>
      </c>
      <c r="R7" s="5"/>
      <c r="S7">
        <v>0.34100000000000003</v>
      </c>
      <c r="T7">
        <v>0.34</v>
      </c>
      <c r="U7">
        <v>0.33900000000000002</v>
      </c>
      <c r="V7">
        <v>0.33900000000000002</v>
      </c>
      <c r="W7">
        <v>0.34</v>
      </c>
      <c r="X7" s="6" t="s">
        <v>5</v>
      </c>
      <c r="Z7" s="5"/>
      <c r="AA7">
        <v>0.33600000000000002</v>
      </c>
      <c r="AB7">
        <v>0.33900000000000002</v>
      </c>
      <c r="AC7">
        <v>0.33900000000000002</v>
      </c>
      <c r="AD7">
        <v>0.33800000000000002</v>
      </c>
      <c r="AE7">
        <v>0.33800000000000002</v>
      </c>
      <c r="AF7" s="6" t="s">
        <v>6</v>
      </c>
      <c r="AH7" s="5"/>
      <c r="AI7">
        <v>0.34100000000000003</v>
      </c>
      <c r="AJ7">
        <v>0.34100000000000003</v>
      </c>
      <c r="AK7">
        <v>0.33900000000000002</v>
      </c>
      <c r="AL7">
        <v>0.34</v>
      </c>
      <c r="AM7">
        <v>0.34</v>
      </c>
      <c r="AN7" s="6" t="s">
        <v>4</v>
      </c>
      <c r="AQ7" s="22" t="s">
        <v>41</v>
      </c>
      <c r="AR7" s="22"/>
      <c r="AS7" s="22"/>
      <c r="AT7" s="22"/>
      <c r="AU7" s="22"/>
      <c r="BH7" s="5"/>
      <c r="BI7" s="6"/>
      <c r="BN7" s="28" t="s">
        <v>26</v>
      </c>
      <c r="BO7" s="27" t="s">
        <v>36</v>
      </c>
      <c r="BP7" s="31" t="s">
        <v>30</v>
      </c>
    </row>
    <row r="8" spans="1:68" x14ac:dyDescent="0.35">
      <c r="A8" s="5">
        <v>300000</v>
      </c>
      <c r="B8">
        <f t="shared" si="0"/>
        <v>0.34939999999999999</v>
      </c>
      <c r="C8">
        <f>SUM(S8:W8)/5</f>
        <v>0.34719999999999995</v>
      </c>
      <c r="D8">
        <f>SUM(AA8:AE8)/5</f>
        <v>0.34519999999999995</v>
      </c>
      <c r="E8" s="6">
        <f t="shared" si="1"/>
        <v>0.34719999999999995</v>
      </c>
      <c r="J8" s="5"/>
      <c r="K8">
        <v>0.35</v>
      </c>
      <c r="L8">
        <v>0.34899999999999998</v>
      </c>
      <c r="M8">
        <v>0.35</v>
      </c>
      <c r="N8">
        <v>0.35</v>
      </c>
      <c r="O8">
        <v>0.34799999999999998</v>
      </c>
      <c r="P8" s="6" t="s">
        <v>4</v>
      </c>
      <c r="R8" s="5"/>
      <c r="S8">
        <v>0.34799999999999998</v>
      </c>
      <c r="T8">
        <v>0.34699999999999998</v>
      </c>
      <c r="U8">
        <v>0.34699999999999998</v>
      </c>
      <c r="V8">
        <v>0.34699999999999998</v>
      </c>
      <c r="W8">
        <v>0.34699999999999998</v>
      </c>
      <c r="X8" s="6" t="s">
        <v>5</v>
      </c>
      <c r="Z8" s="5"/>
      <c r="AA8">
        <v>0.34399999999999997</v>
      </c>
      <c r="AB8">
        <v>0.34599999999999997</v>
      </c>
      <c r="AC8">
        <v>0.34499999999999997</v>
      </c>
      <c r="AD8">
        <v>0.34599999999999997</v>
      </c>
      <c r="AE8">
        <v>0.34499999999999997</v>
      </c>
      <c r="AF8" s="6" t="s">
        <v>6</v>
      </c>
      <c r="AH8" s="5"/>
      <c r="AI8">
        <v>0.34799999999999998</v>
      </c>
      <c r="AJ8">
        <v>0.34799999999999998</v>
      </c>
      <c r="AK8">
        <v>0.34599999999999997</v>
      </c>
      <c r="AL8">
        <v>0.34699999999999998</v>
      </c>
      <c r="AM8">
        <v>0.34699999999999998</v>
      </c>
      <c r="AN8" s="6" t="s">
        <v>4</v>
      </c>
      <c r="BN8" s="28" t="s">
        <v>27</v>
      </c>
      <c r="BO8" s="27" t="s">
        <v>37</v>
      </c>
      <c r="BP8" s="27" t="s">
        <v>28</v>
      </c>
    </row>
    <row r="9" spans="1:68" x14ac:dyDescent="0.35">
      <c r="A9" s="5">
        <v>350000</v>
      </c>
      <c r="B9">
        <f t="shared" si="0"/>
        <v>0.35580000000000001</v>
      </c>
      <c r="C9">
        <f>SUM(S9:W9)/5</f>
        <v>0.35339999999999999</v>
      </c>
      <c r="D9">
        <f>SUM(AA9:AE9)/5</f>
        <v>0.35199999999999998</v>
      </c>
      <c r="E9" s="6">
        <f t="shared" si="1"/>
        <v>0.35359999999999997</v>
      </c>
      <c r="J9" s="5"/>
      <c r="K9">
        <v>0.35599999999999998</v>
      </c>
      <c r="L9">
        <v>0.35599999999999998</v>
      </c>
      <c r="M9">
        <v>0.35599999999999998</v>
      </c>
      <c r="N9">
        <v>0.35599999999999998</v>
      </c>
      <c r="O9">
        <v>0.35499999999999998</v>
      </c>
      <c r="P9" s="6" t="s">
        <v>4</v>
      </c>
      <c r="R9" s="5"/>
      <c r="S9">
        <v>0.35399999999999998</v>
      </c>
      <c r="T9">
        <v>0.35399999999999998</v>
      </c>
      <c r="U9">
        <v>0.35299999999999998</v>
      </c>
      <c r="V9">
        <v>0.35299999999999998</v>
      </c>
      <c r="W9">
        <v>0.35299999999999998</v>
      </c>
      <c r="X9" s="6" t="s">
        <v>5</v>
      </c>
      <c r="Z9" s="5"/>
      <c r="AA9">
        <v>0.35099999999999998</v>
      </c>
      <c r="AB9">
        <v>0.35299999999999998</v>
      </c>
      <c r="AC9">
        <v>0.35199999999999998</v>
      </c>
      <c r="AD9">
        <v>0.35199999999999998</v>
      </c>
      <c r="AE9">
        <v>0.35199999999999998</v>
      </c>
      <c r="AF9" s="6" t="s">
        <v>6</v>
      </c>
      <c r="AH9" s="5"/>
      <c r="AI9">
        <v>0.35399999999999998</v>
      </c>
      <c r="AJ9">
        <v>0.35399999999999998</v>
      </c>
      <c r="AK9">
        <v>0.35299999999999998</v>
      </c>
      <c r="AL9">
        <v>0.35299999999999998</v>
      </c>
      <c r="AM9">
        <v>0.35399999999999998</v>
      </c>
      <c r="AN9" s="6" t="s">
        <v>4</v>
      </c>
    </row>
    <row r="10" spans="1:68" x14ac:dyDescent="0.35">
      <c r="A10" s="5">
        <v>400000</v>
      </c>
      <c r="B10">
        <f t="shared" si="0"/>
        <v>0.36140000000000005</v>
      </c>
      <c r="C10">
        <f>SUM(S10:W10)/5</f>
        <v>0.35880000000000001</v>
      </c>
      <c r="D10">
        <f>SUM(AA10:AE10)/5</f>
        <v>0.35699999999999998</v>
      </c>
      <c r="E10" s="6">
        <f t="shared" si="1"/>
        <v>0.35899999999999999</v>
      </c>
      <c r="J10" s="5"/>
      <c r="K10">
        <v>0.36099999999999999</v>
      </c>
      <c r="L10">
        <v>0.36199999999999999</v>
      </c>
      <c r="M10">
        <v>0.36099999999999999</v>
      </c>
      <c r="N10">
        <v>0.36199999999999999</v>
      </c>
      <c r="O10">
        <v>0.36099999999999999</v>
      </c>
      <c r="P10" s="6" t="s">
        <v>4</v>
      </c>
      <c r="R10" s="5"/>
      <c r="S10">
        <v>0.35899999999999999</v>
      </c>
      <c r="T10">
        <v>0.35899999999999999</v>
      </c>
      <c r="U10">
        <v>0.35899999999999999</v>
      </c>
      <c r="V10">
        <v>0.35799999999999998</v>
      </c>
      <c r="W10">
        <v>0.35899999999999999</v>
      </c>
      <c r="X10" s="6" t="s">
        <v>5</v>
      </c>
      <c r="Z10" s="5"/>
      <c r="AA10">
        <v>0.35599999999999998</v>
      </c>
      <c r="AB10">
        <v>0.35799999999999998</v>
      </c>
      <c r="AC10">
        <v>0.35699999999999998</v>
      </c>
      <c r="AD10">
        <v>0.35699999999999998</v>
      </c>
      <c r="AE10">
        <v>0.35699999999999998</v>
      </c>
      <c r="AF10" s="6" t="s">
        <v>6</v>
      </c>
      <c r="AH10" s="5"/>
      <c r="AI10">
        <v>0.35899999999999999</v>
      </c>
      <c r="AJ10">
        <v>0.36</v>
      </c>
      <c r="AK10">
        <v>0.35899999999999999</v>
      </c>
      <c r="AL10">
        <v>0.35799999999999998</v>
      </c>
      <c r="AM10">
        <v>0.35899999999999999</v>
      </c>
      <c r="AN10" s="6" t="s">
        <v>4</v>
      </c>
    </row>
    <row r="11" spans="1:68" x14ac:dyDescent="0.35">
      <c r="A11" s="5">
        <v>450000</v>
      </c>
      <c r="B11">
        <f t="shared" si="0"/>
        <v>0.36639999999999995</v>
      </c>
      <c r="C11">
        <f>SUM(S11:W11)/5</f>
        <v>0.36360000000000003</v>
      </c>
      <c r="D11">
        <f>SUM(AA11:AE11)/5</f>
        <v>0.36160000000000003</v>
      </c>
      <c r="E11" s="6">
        <f t="shared" si="1"/>
        <v>0.3634</v>
      </c>
      <c r="J11" s="5"/>
      <c r="K11">
        <v>0.36599999999999999</v>
      </c>
      <c r="L11">
        <v>0.36699999999999999</v>
      </c>
      <c r="M11">
        <v>0.36599999999999999</v>
      </c>
      <c r="N11">
        <v>0.36699999999999999</v>
      </c>
      <c r="O11">
        <v>0.36599999999999999</v>
      </c>
      <c r="P11" s="6" t="s">
        <v>4</v>
      </c>
      <c r="R11" s="5"/>
      <c r="S11">
        <v>0.36399999999999999</v>
      </c>
      <c r="T11">
        <v>0.36299999999999999</v>
      </c>
      <c r="U11">
        <v>0.36399999999999999</v>
      </c>
      <c r="V11">
        <v>0.36299999999999999</v>
      </c>
      <c r="W11">
        <v>0.36399999999999999</v>
      </c>
      <c r="X11" s="6" t="s">
        <v>5</v>
      </c>
      <c r="Z11" s="5"/>
      <c r="AA11">
        <v>0.36</v>
      </c>
      <c r="AB11">
        <v>0.36299999999999999</v>
      </c>
      <c r="AC11">
        <v>0.36199999999999999</v>
      </c>
      <c r="AD11">
        <v>0.36199999999999999</v>
      </c>
      <c r="AE11">
        <v>0.36099999999999999</v>
      </c>
      <c r="AF11" s="6" t="s">
        <v>6</v>
      </c>
      <c r="AH11" s="5"/>
      <c r="AI11">
        <v>0.36299999999999999</v>
      </c>
      <c r="AJ11">
        <v>0.36499999999999999</v>
      </c>
      <c r="AK11">
        <v>0.36299999999999999</v>
      </c>
      <c r="AL11">
        <v>0.36299999999999999</v>
      </c>
      <c r="AM11">
        <v>0.36299999999999999</v>
      </c>
      <c r="AN11" s="6" t="s">
        <v>4</v>
      </c>
    </row>
    <row r="12" spans="1:68" x14ac:dyDescent="0.35">
      <c r="A12" s="5">
        <v>500000</v>
      </c>
      <c r="B12">
        <f t="shared" si="0"/>
        <v>0.37080000000000002</v>
      </c>
      <c r="C12">
        <f>SUM(S12:W12)/5</f>
        <v>0.36819999999999997</v>
      </c>
      <c r="D12">
        <f>SUM(AA12:AE12)/5</f>
        <v>0.36560000000000004</v>
      </c>
      <c r="E12" s="6">
        <f t="shared" si="1"/>
        <v>0.3674</v>
      </c>
      <c r="J12" s="5"/>
      <c r="K12">
        <v>0.37</v>
      </c>
      <c r="L12">
        <v>0.371</v>
      </c>
      <c r="M12">
        <v>0.371</v>
      </c>
      <c r="N12">
        <v>0.371</v>
      </c>
      <c r="O12">
        <v>0.371</v>
      </c>
      <c r="P12" s="6" t="s">
        <v>4</v>
      </c>
      <c r="R12" s="5"/>
      <c r="S12">
        <v>0.36899999999999999</v>
      </c>
      <c r="T12">
        <v>0.36799999999999999</v>
      </c>
      <c r="U12">
        <v>0.36799999999999999</v>
      </c>
      <c r="V12">
        <v>0.36799999999999999</v>
      </c>
      <c r="W12">
        <v>0.36799999999999999</v>
      </c>
      <c r="X12" s="6" t="s">
        <v>5</v>
      </c>
      <c r="Z12" s="5"/>
      <c r="AA12">
        <v>0.36499999999999999</v>
      </c>
      <c r="AB12">
        <v>0.36599999999999999</v>
      </c>
      <c r="AC12">
        <v>0.36599999999999999</v>
      </c>
      <c r="AD12">
        <v>0.36599999999999999</v>
      </c>
      <c r="AE12">
        <v>0.36499999999999999</v>
      </c>
      <c r="AF12" s="6" t="s">
        <v>6</v>
      </c>
      <c r="AH12" s="5"/>
      <c r="AI12">
        <v>0.36699999999999999</v>
      </c>
      <c r="AJ12">
        <v>0.36899999999999999</v>
      </c>
      <c r="AK12">
        <v>0.36699999999999999</v>
      </c>
      <c r="AL12">
        <v>0.36699999999999999</v>
      </c>
      <c r="AM12">
        <v>0.36699999999999999</v>
      </c>
      <c r="AN12" s="6" t="s">
        <v>4</v>
      </c>
    </row>
    <row r="13" spans="1:68" x14ac:dyDescent="0.35">
      <c r="A13" s="5">
        <v>550000</v>
      </c>
      <c r="B13">
        <f t="shared" si="0"/>
        <v>0.37439999999999996</v>
      </c>
      <c r="C13">
        <f>SUM(S13:W13)/5</f>
        <v>0.37119999999999997</v>
      </c>
      <c r="D13">
        <f>SUM(AA13:AE13)/5</f>
        <v>0.36940000000000006</v>
      </c>
      <c r="E13" s="6">
        <f t="shared" si="1"/>
        <v>0.37119999999999997</v>
      </c>
      <c r="J13" s="5"/>
      <c r="K13">
        <v>0.374</v>
      </c>
      <c r="L13">
        <v>0.375</v>
      </c>
      <c r="M13">
        <v>0.374</v>
      </c>
      <c r="N13">
        <v>0.375</v>
      </c>
      <c r="O13">
        <v>0.374</v>
      </c>
      <c r="P13" s="6" t="s">
        <v>4</v>
      </c>
      <c r="R13" s="5"/>
      <c r="S13">
        <v>0.372</v>
      </c>
      <c r="T13">
        <v>0.371</v>
      </c>
      <c r="U13">
        <v>0.371</v>
      </c>
      <c r="V13">
        <v>0.371</v>
      </c>
      <c r="W13">
        <v>0.371</v>
      </c>
      <c r="X13" s="6" t="s">
        <v>5</v>
      </c>
      <c r="Z13" s="5"/>
      <c r="AA13">
        <v>0.36799999999999999</v>
      </c>
      <c r="AB13">
        <v>0.37</v>
      </c>
      <c r="AC13">
        <v>0.37</v>
      </c>
      <c r="AD13">
        <v>0.37</v>
      </c>
      <c r="AE13">
        <v>0.36899999999999999</v>
      </c>
      <c r="AF13" s="6" t="s">
        <v>6</v>
      </c>
      <c r="AH13" s="5"/>
      <c r="AI13">
        <v>0.371</v>
      </c>
      <c r="AJ13">
        <v>0.372</v>
      </c>
      <c r="AK13">
        <v>0.371</v>
      </c>
      <c r="AL13">
        <v>0.371</v>
      </c>
      <c r="AM13">
        <v>0.371</v>
      </c>
      <c r="AN13" s="6" t="s">
        <v>4</v>
      </c>
    </row>
    <row r="14" spans="1:68" x14ac:dyDescent="0.35">
      <c r="A14" s="5">
        <v>600000</v>
      </c>
      <c r="B14">
        <f t="shared" si="0"/>
        <v>0.37780000000000002</v>
      </c>
      <c r="C14">
        <f>SUM(S14:W14)/5</f>
        <v>0.37519999999999998</v>
      </c>
      <c r="D14">
        <f>SUM(AA14:AE14)/5</f>
        <v>0.37280000000000002</v>
      </c>
      <c r="E14" s="6">
        <f t="shared" si="1"/>
        <v>0.37419999999999998</v>
      </c>
      <c r="J14" s="5"/>
      <c r="K14">
        <v>0.377</v>
      </c>
      <c r="L14">
        <v>0.378</v>
      </c>
      <c r="M14">
        <v>0.378</v>
      </c>
      <c r="N14">
        <v>0.378</v>
      </c>
      <c r="O14">
        <v>0.378</v>
      </c>
      <c r="P14" s="6" t="s">
        <v>4</v>
      </c>
      <c r="R14" s="5"/>
      <c r="S14">
        <v>0.376</v>
      </c>
      <c r="T14">
        <v>0.375</v>
      </c>
      <c r="U14">
        <v>0.375</v>
      </c>
      <c r="V14">
        <v>0.375</v>
      </c>
      <c r="W14">
        <v>0.375</v>
      </c>
      <c r="X14" s="6" t="s">
        <v>5</v>
      </c>
      <c r="Z14" s="5"/>
      <c r="AA14">
        <v>0.371</v>
      </c>
      <c r="AB14">
        <v>0.373</v>
      </c>
      <c r="AC14">
        <v>0.373</v>
      </c>
      <c r="AD14">
        <v>0.374</v>
      </c>
      <c r="AE14">
        <v>0.373</v>
      </c>
      <c r="AF14" s="6" t="s">
        <v>6</v>
      </c>
      <c r="AH14" s="5"/>
      <c r="AI14">
        <v>0.374</v>
      </c>
      <c r="AJ14">
        <v>0.375</v>
      </c>
      <c r="AK14">
        <v>0.374</v>
      </c>
      <c r="AL14">
        <v>0.374</v>
      </c>
      <c r="AM14">
        <v>0.374</v>
      </c>
      <c r="AN14" s="6" t="s">
        <v>4</v>
      </c>
    </row>
    <row r="15" spans="1:68" x14ac:dyDescent="0.35">
      <c r="A15" s="5">
        <v>650000</v>
      </c>
      <c r="B15">
        <f t="shared" si="0"/>
        <v>0.38079999999999997</v>
      </c>
      <c r="C15">
        <f>SUM(S15:W15)/5</f>
        <v>0.37780000000000002</v>
      </c>
      <c r="D15">
        <f>SUM(AA15:AE15)/5</f>
        <v>0.37580000000000002</v>
      </c>
      <c r="E15" s="6">
        <f t="shared" si="1"/>
        <v>0.37720000000000004</v>
      </c>
      <c r="J15" s="5"/>
      <c r="K15">
        <v>0.38</v>
      </c>
      <c r="L15">
        <v>0.38100000000000001</v>
      </c>
      <c r="M15">
        <v>0.38100000000000001</v>
      </c>
      <c r="N15">
        <v>0.38100000000000001</v>
      </c>
      <c r="O15">
        <v>0.38100000000000001</v>
      </c>
      <c r="P15" s="6" t="s">
        <v>4</v>
      </c>
      <c r="R15" s="5"/>
      <c r="S15">
        <v>0.378</v>
      </c>
      <c r="T15">
        <v>0.377</v>
      </c>
      <c r="U15">
        <v>0.378</v>
      </c>
      <c r="V15">
        <v>0.378</v>
      </c>
      <c r="W15">
        <v>0.378</v>
      </c>
      <c r="X15" s="6" t="s">
        <v>5</v>
      </c>
      <c r="Z15" s="5"/>
      <c r="AA15">
        <v>0.374</v>
      </c>
      <c r="AB15">
        <v>0.376</v>
      </c>
      <c r="AC15">
        <v>0.376</v>
      </c>
      <c r="AD15">
        <v>0.377</v>
      </c>
      <c r="AE15">
        <v>0.376</v>
      </c>
      <c r="AF15" s="6" t="s">
        <v>6</v>
      </c>
      <c r="AH15" s="5"/>
      <c r="AI15">
        <v>0.377</v>
      </c>
      <c r="AJ15">
        <v>0.378</v>
      </c>
      <c r="AK15">
        <v>0.377</v>
      </c>
      <c r="AL15">
        <v>0.377</v>
      </c>
      <c r="AM15">
        <v>0.377</v>
      </c>
      <c r="AN15" s="6" t="s">
        <v>4</v>
      </c>
    </row>
    <row r="16" spans="1:68" x14ac:dyDescent="0.35">
      <c r="A16" s="5">
        <v>700000</v>
      </c>
      <c r="B16">
        <f t="shared" si="0"/>
        <v>0.38319999999999999</v>
      </c>
      <c r="C16">
        <f>SUM(S16:W16)/5</f>
        <v>0.38019999999999998</v>
      </c>
      <c r="D16">
        <f>SUM(AA16:AE16)/5</f>
        <v>0.378</v>
      </c>
      <c r="E16" s="6">
        <f t="shared" si="1"/>
        <v>0.37980000000000003</v>
      </c>
      <c r="J16" s="5"/>
      <c r="K16">
        <v>0.38300000000000001</v>
      </c>
      <c r="L16">
        <v>0.38300000000000001</v>
      </c>
      <c r="M16">
        <v>0.38400000000000001</v>
      </c>
      <c r="N16">
        <v>0.38300000000000001</v>
      </c>
      <c r="O16">
        <v>0.38300000000000001</v>
      </c>
      <c r="P16" s="6" t="s">
        <v>4</v>
      </c>
      <c r="R16" s="5"/>
      <c r="S16">
        <v>0.38100000000000001</v>
      </c>
      <c r="T16">
        <v>0.38</v>
      </c>
      <c r="U16">
        <v>0.38</v>
      </c>
      <c r="V16">
        <v>0.38</v>
      </c>
      <c r="W16">
        <v>0.38</v>
      </c>
      <c r="X16" s="6" t="s">
        <v>5</v>
      </c>
      <c r="Z16" s="5"/>
      <c r="AA16">
        <v>0.377</v>
      </c>
      <c r="AB16">
        <v>0.378</v>
      </c>
      <c r="AC16">
        <v>0.378</v>
      </c>
      <c r="AD16">
        <v>0.379</v>
      </c>
      <c r="AE16">
        <v>0.378</v>
      </c>
      <c r="AF16" s="6" t="s">
        <v>6</v>
      </c>
      <c r="AH16" s="5"/>
      <c r="AI16">
        <v>0.38</v>
      </c>
      <c r="AJ16">
        <v>0.38</v>
      </c>
      <c r="AK16">
        <v>0.379</v>
      </c>
      <c r="AL16">
        <v>0.38</v>
      </c>
      <c r="AM16">
        <v>0.38</v>
      </c>
      <c r="AN16" s="6" t="s">
        <v>4</v>
      </c>
    </row>
    <row r="17" spans="1:40" x14ac:dyDescent="0.35">
      <c r="A17" s="5">
        <v>750000</v>
      </c>
      <c r="B17">
        <f t="shared" si="0"/>
        <v>0.3856</v>
      </c>
      <c r="C17">
        <f>SUM(S17:W17)/5</f>
        <v>0.38200000000000001</v>
      </c>
      <c r="D17">
        <f>SUM(AA17:AE17)/5</f>
        <v>0.38</v>
      </c>
      <c r="E17" s="6">
        <f t="shared" si="1"/>
        <v>0.38180000000000003</v>
      </c>
      <c r="J17" s="5"/>
      <c r="K17">
        <v>0.38500000000000001</v>
      </c>
      <c r="L17">
        <v>0.38600000000000001</v>
      </c>
      <c r="M17">
        <v>0.38600000000000001</v>
      </c>
      <c r="N17">
        <v>0.38500000000000001</v>
      </c>
      <c r="O17">
        <v>0.38600000000000001</v>
      </c>
      <c r="P17" s="6" t="s">
        <v>4</v>
      </c>
      <c r="R17" s="5"/>
      <c r="S17">
        <v>0.38200000000000001</v>
      </c>
      <c r="T17">
        <v>0.38200000000000001</v>
      </c>
      <c r="U17">
        <v>0.38200000000000001</v>
      </c>
      <c r="V17">
        <v>0.38200000000000001</v>
      </c>
      <c r="W17">
        <v>0.38200000000000001</v>
      </c>
      <c r="X17" s="6" t="s">
        <v>5</v>
      </c>
      <c r="Z17" s="5"/>
      <c r="AA17">
        <v>0.379</v>
      </c>
      <c r="AB17">
        <v>0.38</v>
      </c>
      <c r="AC17">
        <v>0.38</v>
      </c>
      <c r="AD17">
        <v>0.38100000000000001</v>
      </c>
      <c r="AE17">
        <v>0.38</v>
      </c>
      <c r="AF17" s="6" t="s">
        <v>6</v>
      </c>
      <c r="AH17" s="5"/>
      <c r="AI17">
        <v>0.38200000000000001</v>
      </c>
      <c r="AJ17">
        <v>0.38200000000000001</v>
      </c>
      <c r="AK17">
        <v>0.38100000000000001</v>
      </c>
      <c r="AL17">
        <v>0.38200000000000001</v>
      </c>
      <c r="AM17">
        <v>0.38200000000000001</v>
      </c>
      <c r="AN17" s="6" t="s">
        <v>4</v>
      </c>
    </row>
    <row r="18" spans="1:40" x14ac:dyDescent="0.35">
      <c r="A18" s="5">
        <v>800000</v>
      </c>
      <c r="B18">
        <f t="shared" si="0"/>
        <v>0.38740000000000002</v>
      </c>
      <c r="C18">
        <f>SUM(S18:W18)/5</f>
        <v>0.38380000000000003</v>
      </c>
      <c r="D18">
        <f>SUM(AA18:AE18)/5</f>
        <v>0.38200000000000001</v>
      </c>
      <c r="E18" s="6">
        <f t="shared" si="1"/>
        <v>0.38359999999999994</v>
      </c>
      <c r="J18" s="5"/>
      <c r="K18">
        <v>0.38700000000000001</v>
      </c>
      <c r="L18">
        <v>0.38800000000000001</v>
      </c>
      <c r="M18">
        <v>0.38800000000000001</v>
      </c>
      <c r="N18">
        <v>0.38700000000000001</v>
      </c>
      <c r="O18">
        <v>0.38700000000000001</v>
      </c>
      <c r="P18" s="6" t="s">
        <v>4</v>
      </c>
      <c r="R18" s="5"/>
      <c r="S18">
        <v>0.38400000000000001</v>
      </c>
      <c r="T18">
        <v>0.38300000000000001</v>
      </c>
      <c r="U18">
        <v>0.38400000000000001</v>
      </c>
      <c r="V18">
        <v>0.38400000000000001</v>
      </c>
      <c r="W18">
        <v>0.38400000000000001</v>
      </c>
      <c r="X18" s="6" t="s">
        <v>5</v>
      </c>
      <c r="Z18" s="5"/>
      <c r="AA18">
        <v>0.38100000000000001</v>
      </c>
      <c r="AB18">
        <v>0.38200000000000001</v>
      </c>
      <c r="AC18">
        <v>0.38200000000000001</v>
      </c>
      <c r="AD18">
        <v>0.38300000000000001</v>
      </c>
      <c r="AE18">
        <v>0.38200000000000001</v>
      </c>
      <c r="AF18" s="6" t="s">
        <v>6</v>
      </c>
      <c r="AH18" s="5"/>
      <c r="AI18">
        <v>0.38300000000000001</v>
      </c>
      <c r="AJ18">
        <v>0.38400000000000001</v>
      </c>
      <c r="AK18">
        <v>0.38300000000000001</v>
      </c>
      <c r="AL18">
        <v>0.38400000000000001</v>
      </c>
      <c r="AM18">
        <v>0.38400000000000001</v>
      </c>
      <c r="AN18" s="6" t="s">
        <v>4</v>
      </c>
    </row>
    <row r="19" spans="1:40" x14ac:dyDescent="0.35">
      <c r="A19" s="5">
        <v>850000</v>
      </c>
      <c r="B19">
        <f t="shared" si="0"/>
        <v>0.38920000000000005</v>
      </c>
      <c r="C19">
        <f>SUM(S19:W19)/5</f>
        <v>0.38580000000000003</v>
      </c>
      <c r="D19">
        <f>SUM(AA19:AE19)/5</f>
        <v>0.3836</v>
      </c>
      <c r="E19" s="6">
        <f t="shared" si="1"/>
        <v>0.38560000000000005</v>
      </c>
      <c r="J19" s="5"/>
      <c r="K19">
        <v>0.38900000000000001</v>
      </c>
      <c r="L19">
        <v>0.38900000000000001</v>
      </c>
      <c r="M19">
        <v>0.39</v>
      </c>
      <c r="N19">
        <v>0.38900000000000001</v>
      </c>
      <c r="O19">
        <v>0.38900000000000001</v>
      </c>
      <c r="P19" s="6" t="s">
        <v>4</v>
      </c>
      <c r="R19" s="5"/>
      <c r="S19">
        <v>0.38600000000000001</v>
      </c>
      <c r="T19">
        <v>0.38500000000000001</v>
      </c>
      <c r="U19">
        <v>0.38600000000000001</v>
      </c>
      <c r="V19">
        <v>0.38600000000000001</v>
      </c>
      <c r="W19">
        <v>0.38600000000000001</v>
      </c>
      <c r="X19" s="6" t="s">
        <v>5</v>
      </c>
      <c r="Z19" s="5"/>
      <c r="AA19">
        <v>0.38300000000000001</v>
      </c>
      <c r="AB19">
        <v>0.38300000000000001</v>
      </c>
      <c r="AC19">
        <v>0.38400000000000001</v>
      </c>
      <c r="AD19">
        <v>0.38500000000000001</v>
      </c>
      <c r="AE19">
        <v>0.38300000000000001</v>
      </c>
      <c r="AF19" s="6" t="s">
        <v>6</v>
      </c>
      <c r="AH19" s="5"/>
      <c r="AI19">
        <v>0.38500000000000001</v>
      </c>
      <c r="AJ19">
        <v>0.38600000000000001</v>
      </c>
      <c r="AK19">
        <v>0.38500000000000001</v>
      </c>
      <c r="AL19">
        <v>0.38600000000000001</v>
      </c>
      <c r="AM19">
        <v>0.38600000000000001</v>
      </c>
      <c r="AN19" s="6" t="s">
        <v>4</v>
      </c>
    </row>
    <row r="20" spans="1:40" x14ac:dyDescent="0.35">
      <c r="A20" s="5">
        <v>900000</v>
      </c>
      <c r="B20">
        <f t="shared" si="0"/>
        <v>0.39060000000000006</v>
      </c>
      <c r="C20">
        <f>SUM(S20:W20)/5</f>
        <v>0.38719999999999999</v>
      </c>
      <c r="D20">
        <f>SUM(AA20:AE20)/5</f>
        <v>0.38500000000000001</v>
      </c>
      <c r="E20" s="6">
        <f t="shared" si="1"/>
        <v>0.38700000000000001</v>
      </c>
      <c r="J20" s="5"/>
      <c r="K20">
        <v>0.39</v>
      </c>
      <c r="L20">
        <v>0.39100000000000001</v>
      </c>
      <c r="M20">
        <v>0.39100000000000001</v>
      </c>
      <c r="N20">
        <v>0.39100000000000001</v>
      </c>
      <c r="O20">
        <v>0.39</v>
      </c>
      <c r="P20" s="6" t="s">
        <v>4</v>
      </c>
      <c r="R20" s="5"/>
      <c r="S20">
        <v>0.38800000000000001</v>
      </c>
      <c r="T20">
        <v>0.38600000000000001</v>
      </c>
      <c r="U20">
        <v>0.38700000000000001</v>
      </c>
      <c r="V20">
        <v>0.38800000000000001</v>
      </c>
      <c r="W20">
        <v>0.38700000000000001</v>
      </c>
      <c r="X20" s="6" t="s">
        <v>5</v>
      </c>
      <c r="Z20" s="5"/>
      <c r="AA20">
        <v>0.38400000000000001</v>
      </c>
      <c r="AB20">
        <v>0.38500000000000001</v>
      </c>
      <c r="AC20">
        <v>0.38500000000000001</v>
      </c>
      <c r="AD20">
        <v>0.38600000000000001</v>
      </c>
      <c r="AE20">
        <v>0.38500000000000001</v>
      </c>
      <c r="AF20" s="6" t="s">
        <v>6</v>
      </c>
      <c r="AH20" s="5"/>
      <c r="AI20">
        <v>0.38700000000000001</v>
      </c>
      <c r="AJ20">
        <v>0.38700000000000001</v>
      </c>
      <c r="AK20">
        <v>0.38700000000000001</v>
      </c>
      <c r="AL20">
        <v>0.38700000000000001</v>
      </c>
      <c r="AM20">
        <v>0.38700000000000001</v>
      </c>
      <c r="AN20" s="6" t="s">
        <v>4</v>
      </c>
    </row>
    <row r="21" spans="1:40" x14ac:dyDescent="0.35">
      <c r="A21" s="5">
        <v>950000</v>
      </c>
      <c r="B21">
        <f t="shared" si="0"/>
        <v>0.39200000000000002</v>
      </c>
      <c r="C21">
        <f>SUM(S21:W21)/5</f>
        <v>0.38879999999999998</v>
      </c>
      <c r="D21">
        <f>SUM(AA21:AE21)/5</f>
        <v>0.38619999999999999</v>
      </c>
      <c r="E21" s="6">
        <f t="shared" si="1"/>
        <v>0.38800000000000001</v>
      </c>
      <c r="J21" s="5"/>
      <c r="K21">
        <v>0.39200000000000002</v>
      </c>
      <c r="L21">
        <v>0.39200000000000002</v>
      </c>
      <c r="M21">
        <v>0.39200000000000002</v>
      </c>
      <c r="N21">
        <v>0.39200000000000002</v>
      </c>
      <c r="O21">
        <v>0.39200000000000002</v>
      </c>
      <c r="P21" s="6" t="s">
        <v>4</v>
      </c>
      <c r="R21" s="5"/>
      <c r="S21">
        <v>0.38900000000000001</v>
      </c>
      <c r="T21">
        <v>0.38800000000000001</v>
      </c>
      <c r="U21">
        <v>0.38900000000000001</v>
      </c>
      <c r="V21">
        <v>0.38900000000000001</v>
      </c>
      <c r="W21">
        <v>0.38900000000000001</v>
      </c>
      <c r="X21" s="6" t="s">
        <v>5</v>
      </c>
      <c r="Z21" s="5"/>
      <c r="AA21">
        <v>0.38500000000000001</v>
      </c>
      <c r="AB21">
        <v>0.38600000000000001</v>
      </c>
      <c r="AC21">
        <v>0.38600000000000001</v>
      </c>
      <c r="AD21">
        <v>0.38800000000000001</v>
      </c>
      <c r="AE21">
        <v>0.38600000000000001</v>
      </c>
      <c r="AF21" s="6" t="s">
        <v>6</v>
      </c>
      <c r="AH21" s="5"/>
      <c r="AI21">
        <v>0.38800000000000001</v>
      </c>
      <c r="AJ21">
        <v>0.38800000000000001</v>
      </c>
      <c r="AK21">
        <v>0.38800000000000001</v>
      </c>
      <c r="AL21">
        <v>0.38800000000000001</v>
      </c>
      <c r="AM21">
        <v>0.38800000000000001</v>
      </c>
      <c r="AN21" s="6" t="s">
        <v>4</v>
      </c>
    </row>
    <row r="22" spans="1:40" x14ac:dyDescent="0.35">
      <c r="A22" s="5">
        <v>1000000</v>
      </c>
      <c r="B22">
        <f t="shared" si="0"/>
        <v>0.39319999999999999</v>
      </c>
      <c r="C22">
        <f>SUM(S22:W22)/5</f>
        <v>0.38980000000000004</v>
      </c>
      <c r="D22">
        <f>SUM(AA22:AE22)/5</f>
        <v>0.38740000000000008</v>
      </c>
      <c r="E22" s="6">
        <f t="shared" si="1"/>
        <v>0.38920000000000005</v>
      </c>
      <c r="J22" s="5"/>
      <c r="K22">
        <v>0.39300000000000002</v>
      </c>
      <c r="L22">
        <v>0.39300000000000002</v>
      </c>
      <c r="M22">
        <v>0.39300000000000002</v>
      </c>
      <c r="N22">
        <v>0.39400000000000002</v>
      </c>
      <c r="O22">
        <v>0.39300000000000002</v>
      </c>
      <c r="P22" s="6" t="s">
        <v>4</v>
      </c>
      <c r="R22" s="5"/>
      <c r="S22">
        <v>0.39</v>
      </c>
      <c r="T22">
        <v>0.38900000000000001</v>
      </c>
      <c r="U22">
        <v>0.39</v>
      </c>
      <c r="V22">
        <v>0.39</v>
      </c>
      <c r="W22">
        <v>0.39</v>
      </c>
      <c r="X22" s="6" t="s">
        <v>5</v>
      </c>
      <c r="Z22" s="5"/>
      <c r="AA22">
        <v>0.38600000000000001</v>
      </c>
      <c r="AB22">
        <v>0.38700000000000001</v>
      </c>
      <c r="AC22">
        <v>0.38700000000000001</v>
      </c>
      <c r="AD22">
        <v>0.38900000000000001</v>
      </c>
      <c r="AE22">
        <v>0.38800000000000001</v>
      </c>
      <c r="AF22" s="6" t="s">
        <v>6</v>
      </c>
      <c r="AH22" s="5"/>
      <c r="AI22">
        <v>0.38900000000000001</v>
      </c>
      <c r="AJ22">
        <v>0.39</v>
      </c>
      <c r="AK22">
        <v>0.38900000000000001</v>
      </c>
      <c r="AL22">
        <v>0.38900000000000001</v>
      </c>
      <c r="AM22">
        <v>0.38900000000000001</v>
      </c>
      <c r="AN22" s="6" t="s">
        <v>4</v>
      </c>
    </row>
    <row r="23" spans="1:40" x14ac:dyDescent="0.35">
      <c r="A23" s="5">
        <v>1050000</v>
      </c>
      <c r="B23">
        <f t="shared" si="0"/>
        <v>0.39419999999999999</v>
      </c>
      <c r="C23">
        <f>SUM(S23:W23)/5</f>
        <v>0.39080000000000004</v>
      </c>
      <c r="D23">
        <f>SUM(AA23:AE23)/5</f>
        <v>0.38860000000000006</v>
      </c>
      <c r="E23" s="6">
        <f t="shared" si="1"/>
        <v>0.39</v>
      </c>
      <c r="J23" s="5"/>
      <c r="K23">
        <v>0.39400000000000002</v>
      </c>
      <c r="L23">
        <v>0.39400000000000002</v>
      </c>
      <c r="M23">
        <v>0.39400000000000002</v>
      </c>
      <c r="N23">
        <v>0.39500000000000002</v>
      </c>
      <c r="O23">
        <v>0.39400000000000002</v>
      </c>
      <c r="P23" s="6" t="s">
        <v>4</v>
      </c>
      <c r="R23" s="5"/>
      <c r="S23">
        <v>0.39100000000000001</v>
      </c>
      <c r="T23">
        <v>0.39</v>
      </c>
      <c r="U23">
        <v>0.39100000000000001</v>
      </c>
      <c r="V23">
        <v>0.39100000000000001</v>
      </c>
      <c r="W23">
        <v>0.39100000000000001</v>
      </c>
      <c r="X23" s="6" t="s">
        <v>5</v>
      </c>
      <c r="Z23" s="5"/>
      <c r="AA23">
        <v>0.38800000000000001</v>
      </c>
      <c r="AB23">
        <v>0.38800000000000001</v>
      </c>
      <c r="AC23">
        <v>0.38800000000000001</v>
      </c>
      <c r="AD23">
        <v>0.39</v>
      </c>
      <c r="AE23">
        <v>0.38900000000000001</v>
      </c>
      <c r="AF23" s="6" t="s">
        <v>6</v>
      </c>
      <c r="AH23" s="5"/>
      <c r="AI23">
        <v>0.39</v>
      </c>
      <c r="AJ23">
        <v>0.39</v>
      </c>
      <c r="AK23">
        <v>0.39</v>
      </c>
      <c r="AL23">
        <v>0.39</v>
      </c>
      <c r="AM23">
        <v>0.39</v>
      </c>
      <c r="AN23" s="6" t="s">
        <v>4</v>
      </c>
    </row>
    <row r="24" spans="1:40" x14ac:dyDescent="0.35">
      <c r="A24" s="5">
        <v>1100000</v>
      </c>
      <c r="B24">
        <f t="shared" si="0"/>
        <v>0.3952</v>
      </c>
      <c r="C24">
        <f>SUM(S24:W24)/5</f>
        <v>0.39180000000000004</v>
      </c>
      <c r="D24">
        <f>SUM(AA24:AE24)/5</f>
        <v>0.38940000000000002</v>
      </c>
      <c r="E24" s="6">
        <f t="shared" si="1"/>
        <v>0.39140000000000003</v>
      </c>
      <c r="J24" s="5"/>
      <c r="K24">
        <v>0.39500000000000002</v>
      </c>
      <c r="L24">
        <v>0.39500000000000002</v>
      </c>
      <c r="M24">
        <v>0.39500000000000002</v>
      </c>
      <c r="N24">
        <v>0.39600000000000002</v>
      </c>
      <c r="O24">
        <v>0.39500000000000002</v>
      </c>
      <c r="P24" s="6" t="s">
        <v>4</v>
      </c>
      <c r="R24" s="5"/>
      <c r="S24">
        <v>0.39200000000000002</v>
      </c>
      <c r="T24">
        <v>0.39100000000000001</v>
      </c>
      <c r="U24">
        <v>0.39200000000000002</v>
      </c>
      <c r="V24">
        <v>0.39200000000000002</v>
      </c>
      <c r="W24">
        <v>0.39200000000000002</v>
      </c>
      <c r="X24" s="6" t="s">
        <v>5</v>
      </c>
      <c r="Z24" s="5"/>
      <c r="AA24">
        <v>0.38800000000000001</v>
      </c>
      <c r="AB24">
        <v>0.38900000000000001</v>
      </c>
      <c r="AC24">
        <v>0.38900000000000001</v>
      </c>
      <c r="AD24">
        <v>0.39100000000000001</v>
      </c>
      <c r="AE24">
        <v>0.39</v>
      </c>
      <c r="AF24" s="6" t="s">
        <v>6</v>
      </c>
      <c r="AH24" s="5"/>
      <c r="AI24">
        <v>0.39100000000000001</v>
      </c>
      <c r="AJ24">
        <v>0.39200000000000002</v>
      </c>
      <c r="AK24">
        <v>0.39200000000000002</v>
      </c>
      <c r="AL24">
        <v>0.39100000000000001</v>
      </c>
      <c r="AM24">
        <v>0.39100000000000001</v>
      </c>
      <c r="AN24" s="6" t="s">
        <v>4</v>
      </c>
    </row>
    <row r="25" spans="1:40" x14ac:dyDescent="0.35">
      <c r="A25" s="5">
        <v>1150000</v>
      </c>
      <c r="B25">
        <f t="shared" si="0"/>
        <v>0.39620000000000005</v>
      </c>
      <c r="C25">
        <f>SUM(S25:W25)/5</f>
        <v>0.3926</v>
      </c>
      <c r="D25">
        <f>SUM(AA25:AE25)/5</f>
        <v>0.39019999999999999</v>
      </c>
      <c r="E25" s="6">
        <f t="shared" si="1"/>
        <v>0.39200000000000002</v>
      </c>
      <c r="J25" s="5"/>
      <c r="K25">
        <v>0.39600000000000002</v>
      </c>
      <c r="L25">
        <v>0.39600000000000002</v>
      </c>
      <c r="M25">
        <v>0.39600000000000002</v>
      </c>
      <c r="N25">
        <v>0.39700000000000002</v>
      </c>
      <c r="O25">
        <v>0.39600000000000002</v>
      </c>
      <c r="P25" s="6" t="s">
        <v>4</v>
      </c>
      <c r="R25" s="5"/>
      <c r="S25">
        <v>0.39200000000000002</v>
      </c>
      <c r="T25">
        <v>0.39200000000000002</v>
      </c>
      <c r="U25">
        <v>0.39300000000000002</v>
      </c>
      <c r="V25">
        <v>0.39300000000000002</v>
      </c>
      <c r="W25">
        <v>0.39300000000000002</v>
      </c>
      <c r="X25" s="6" t="s">
        <v>5</v>
      </c>
      <c r="Z25" s="5"/>
      <c r="AA25">
        <v>0.38900000000000001</v>
      </c>
      <c r="AB25">
        <v>0.39</v>
      </c>
      <c r="AC25">
        <v>0.39</v>
      </c>
      <c r="AD25">
        <v>0.39200000000000002</v>
      </c>
      <c r="AE25">
        <v>0.39</v>
      </c>
      <c r="AF25" s="6" t="s">
        <v>6</v>
      </c>
      <c r="AH25" s="5"/>
      <c r="AI25">
        <v>0.39200000000000002</v>
      </c>
      <c r="AJ25">
        <v>0.39200000000000002</v>
      </c>
      <c r="AK25">
        <v>0.39200000000000002</v>
      </c>
      <c r="AL25">
        <v>0.39200000000000002</v>
      </c>
      <c r="AM25">
        <v>0.39200000000000002</v>
      </c>
      <c r="AN25" s="6" t="s">
        <v>4</v>
      </c>
    </row>
    <row r="26" spans="1:40" x14ac:dyDescent="0.35">
      <c r="A26" s="5">
        <v>1200000</v>
      </c>
      <c r="B26">
        <f t="shared" si="0"/>
        <v>0.39700000000000002</v>
      </c>
      <c r="C26">
        <f>SUM(S26:W26)/5</f>
        <v>0.39340000000000003</v>
      </c>
      <c r="D26">
        <f>SUM(AA26:AE26)/5</f>
        <v>0.39120000000000005</v>
      </c>
      <c r="E26" s="6">
        <f t="shared" si="1"/>
        <v>0.39300000000000002</v>
      </c>
      <c r="J26" s="5"/>
      <c r="K26">
        <v>0.39700000000000002</v>
      </c>
      <c r="L26">
        <v>0.39700000000000002</v>
      </c>
      <c r="M26">
        <v>0.39700000000000002</v>
      </c>
      <c r="N26">
        <v>0.39700000000000002</v>
      </c>
      <c r="O26">
        <v>0.39700000000000002</v>
      </c>
      <c r="P26" s="6" t="s">
        <v>4</v>
      </c>
      <c r="R26" s="5"/>
      <c r="S26">
        <v>0.39300000000000002</v>
      </c>
      <c r="T26">
        <v>0.39300000000000002</v>
      </c>
      <c r="U26">
        <v>0.39300000000000002</v>
      </c>
      <c r="V26">
        <v>0.39400000000000002</v>
      </c>
      <c r="W26">
        <v>0.39400000000000002</v>
      </c>
      <c r="X26" s="6" t="s">
        <v>5</v>
      </c>
      <c r="Z26" s="5"/>
      <c r="AA26">
        <v>0.39</v>
      </c>
      <c r="AB26">
        <v>0.39100000000000001</v>
      </c>
      <c r="AC26">
        <v>0.39100000000000001</v>
      </c>
      <c r="AD26">
        <v>0.39300000000000002</v>
      </c>
      <c r="AE26">
        <v>0.39100000000000001</v>
      </c>
      <c r="AF26" s="6" t="s">
        <v>6</v>
      </c>
      <c r="AH26" s="5"/>
      <c r="AI26">
        <v>0.39300000000000002</v>
      </c>
      <c r="AJ26">
        <v>0.39300000000000002</v>
      </c>
      <c r="AK26">
        <v>0.39300000000000002</v>
      </c>
      <c r="AL26">
        <v>0.39300000000000002</v>
      </c>
      <c r="AM26">
        <v>0.39300000000000002</v>
      </c>
      <c r="AN26" s="6" t="s">
        <v>4</v>
      </c>
    </row>
    <row r="27" spans="1:40" x14ac:dyDescent="0.35">
      <c r="A27" s="5"/>
      <c r="B27" s="10"/>
      <c r="C27" s="10"/>
      <c r="D27" s="10"/>
      <c r="E27" s="11"/>
      <c r="J27" s="5"/>
      <c r="P27" s="6"/>
      <c r="R27" s="5"/>
      <c r="X27" s="6"/>
      <c r="Z27" s="5"/>
      <c r="AF27" s="6"/>
      <c r="AH27" s="5"/>
      <c r="AN27" s="6"/>
    </row>
    <row r="28" spans="1:40" x14ac:dyDescent="0.35">
      <c r="A28" s="7"/>
      <c r="B28" s="8"/>
      <c r="C28" s="8"/>
      <c r="D28" s="8"/>
      <c r="E28" s="9"/>
      <c r="J28" s="7"/>
      <c r="K28" s="8">
        <v>0.42305199999999998</v>
      </c>
      <c r="L28" s="8">
        <v>0.42078599999999999</v>
      </c>
      <c r="M28" s="8">
        <v>0.422404</v>
      </c>
      <c r="N28" s="8">
        <v>0.423898</v>
      </c>
      <c r="O28" s="8">
        <v>0.42266799999999999</v>
      </c>
      <c r="P28" s="9" t="s">
        <v>7</v>
      </c>
      <c r="R28" s="7"/>
      <c r="S28" s="8">
        <v>0.419296</v>
      </c>
      <c r="T28" s="8">
        <v>0.42120600000000002</v>
      </c>
      <c r="U28" s="8">
        <v>0.41598400000000002</v>
      </c>
      <c r="V28" s="8">
        <v>0.41975200000000001</v>
      </c>
      <c r="W28" s="8">
        <v>0.42124200000000001</v>
      </c>
      <c r="X28" s="9" t="s">
        <v>8</v>
      </c>
      <c r="Z28" s="7"/>
      <c r="AA28" s="8">
        <v>0.41588199999999997</v>
      </c>
      <c r="AB28" s="8">
        <v>0.419346</v>
      </c>
      <c r="AC28" s="8">
        <v>0.416522</v>
      </c>
      <c r="AD28" s="8">
        <v>0.41721399999999997</v>
      </c>
      <c r="AE28" s="8">
        <v>0.41791600000000001</v>
      </c>
      <c r="AF28" s="9" t="s">
        <v>8</v>
      </c>
      <c r="AH28" s="7"/>
      <c r="AI28" s="8">
        <v>0.41816399999999998</v>
      </c>
      <c r="AJ28" s="8">
        <v>0.41733599999999998</v>
      </c>
      <c r="AK28" s="8">
        <v>0.418908</v>
      </c>
      <c r="AL28" s="8">
        <v>0.40920200000000001</v>
      </c>
      <c r="AM28" s="8">
        <v>0.41544199999999998</v>
      </c>
      <c r="AN28" s="9" t="s">
        <v>8</v>
      </c>
    </row>
    <row r="35" spans="7:46" x14ac:dyDescent="0.35">
      <c r="G35" t="s">
        <v>40</v>
      </c>
    </row>
    <row r="37" spans="7:46" ht="15" thickBot="1" x14ac:dyDescent="0.4">
      <c r="G37" s="2" t="s">
        <v>9</v>
      </c>
      <c r="H37" s="3">
        <v>1</v>
      </c>
      <c r="I37" s="3">
        <v>2</v>
      </c>
      <c r="J37" s="3">
        <v>3</v>
      </c>
      <c r="K37" s="3">
        <v>4</v>
      </c>
      <c r="L37" s="3">
        <v>5</v>
      </c>
      <c r="M37" s="3">
        <v>6</v>
      </c>
      <c r="N37" s="3">
        <v>7</v>
      </c>
      <c r="O37" s="3">
        <v>8</v>
      </c>
      <c r="P37" s="3">
        <v>9</v>
      </c>
      <c r="Q37" s="3">
        <v>10</v>
      </c>
      <c r="R37" s="3">
        <v>11</v>
      </c>
      <c r="S37" s="3">
        <v>12</v>
      </c>
      <c r="T37" s="3">
        <v>13</v>
      </c>
      <c r="U37" s="3">
        <v>14</v>
      </c>
      <c r="V37" s="3">
        <v>15</v>
      </c>
      <c r="W37" s="3">
        <v>16</v>
      </c>
      <c r="X37" s="3">
        <v>17</v>
      </c>
      <c r="Y37" s="3">
        <v>18</v>
      </c>
      <c r="Z37" s="3">
        <v>19</v>
      </c>
      <c r="AA37" s="3">
        <v>20</v>
      </c>
      <c r="AB37" s="23">
        <v>21</v>
      </c>
      <c r="AC37" s="23">
        <v>22</v>
      </c>
      <c r="AD37" s="23">
        <v>23</v>
      </c>
      <c r="AE37" s="23">
        <v>24</v>
      </c>
      <c r="AF37" s="23">
        <v>25</v>
      </c>
      <c r="AG37" s="23">
        <v>26</v>
      </c>
      <c r="AH37" s="23">
        <v>27</v>
      </c>
      <c r="AI37" s="23">
        <v>28</v>
      </c>
      <c r="AJ37" s="23">
        <v>29</v>
      </c>
      <c r="AK37" s="24">
        <v>30</v>
      </c>
      <c r="AO37" s="2"/>
      <c r="AP37" s="4"/>
    </row>
    <row r="38" spans="7:46" ht="16" x14ac:dyDescent="0.4">
      <c r="G38" s="5" t="s">
        <v>13</v>
      </c>
      <c r="H38">
        <v>0.42424600000000001</v>
      </c>
      <c r="I38">
        <v>0.423842</v>
      </c>
      <c r="J38">
        <v>0.42249799999999998</v>
      </c>
      <c r="K38">
        <v>0.42358600000000002</v>
      </c>
      <c r="L38">
        <v>0.42523</v>
      </c>
      <c r="M38">
        <v>0.42455199999999998</v>
      </c>
      <c r="N38">
        <v>0.425844</v>
      </c>
      <c r="O38">
        <v>0.42232999999999998</v>
      </c>
      <c r="P38">
        <v>0.423014</v>
      </c>
      <c r="Q38">
        <v>0.42498599999999997</v>
      </c>
      <c r="R38">
        <v>0.422848</v>
      </c>
      <c r="S38">
        <v>0.42413000000000001</v>
      </c>
      <c r="T38">
        <v>0.42400199999999999</v>
      </c>
      <c r="U38">
        <v>0.42242400000000002</v>
      </c>
      <c r="V38">
        <v>0.42546600000000001</v>
      </c>
      <c r="W38">
        <v>0.42343599999999998</v>
      </c>
      <c r="X38">
        <v>0.42404599999999998</v>
      </c>
      <c r="Y38">
        <v>0.42409000000000002</v>
      </c>
      <c r="Z38" s="22">
        <v>0.42347200000000002</v>
      </c>
      <c r="AA38" s="22">
        <v>0.42376000000000003</v>
      </c>
      <c r="AB38" s="22">
        <v>0.42370200000000002</v>
      </c>
      <c r="AC38" s="22">
        <v>0.42426399999999997</v>
      </c>
      <c r="AD38" s="22">
        <v>0.42355799999999999</v>
      </c>
      <c r="AE38" s="25">
        <v>0.42133399999999999</v>
      </c>
      <c r="AF38" s="22">
        <v>0.42632999999999999</v>
      </c>
      <c r="AG38" s="22">
        <v>0.42413000000000001</v>
      </c>
      <c r="AH38" s="22">
        <v>0.42448799999999998</v>
      </c>
      <c r="AI38" s="22">
        <v>0.42507400000000001</v>
      </c>
      <c r="AJ38" s="22">
        <v>0.42346800000000001</v>
      </c>
      <c r="AK38" s="6">
        <v>0.42528199999999999</v>
      </c>
      <c r="AO38" s="5" t="s">
        <v>12</v>
      </c>
      <c r="AP38" s="6">
        <f>SUM(H38:AK38)/30</f>
        <v>0.42398106666666663</v>
      </c>
      <c r="AS38" s="16" t="s">
        <v>16</v>
      </c>
      <c r="AT38" s="17">
        <f>_xlfn.STDEV.S(H38:AK38)</f>
        <v>1.10360509345456E-3</v>
      </c>
    </row>
    <row r="39" spans="7:46" x14ac:dyDescent="0.35">
      <c r="G39" s="7" t="s">
        <v>4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9"/>
      <c r="AO39" s="5"/>
      <c r="AP39" s="6"/>
      <c r="AS39" s="18"/>
      <c r="AT39" s="19"/>
    </row>
    <row r="40" spans="7:46" x14ac:dyDescent="0.35">
      <c r="G40" s="2" t="s">
        <v>10</v>
      </c>
      <c r="H40" s="3">
        <v>1</v>
      </c>
      <c r="I40" s="3">
        <v>2</v>
      </c>
      <c r="J40" s="3">
        <v>3</v>
      </c>
      <c r="K40" s="3">
        <v>4</v>
      </c>
      <c r="L40" s="3">
        <v>5</v>
      </c>
      <c r="M40" s="3">
        <v>6</v>
      </c>
      <c r="N40" s="3">
        <v>7</v>
      </c>
      <c r="O40" s="3">
        <v>8</v>
      </c>
      <c r="P40" s="3">
        <v>9</v>
      </c>
      <c r="Q40" s="3">
        <v>10</v>
      </c>
      <c r="R40" s="3">
        <v>11</v>
      </c>
      <c r="S40" s="3">
        <v>12</v>
      </c>
      <c r="T40" s="3">
        <v>13</v>
      </c>
      <c r="U40" s="3">
        <v>14</v>
      </c>
      <c r="V40" s="3">
        <v>15</v>
      </c>
      <c r="W40" s="3">
        <v>16</v>
      </c>
      <c r="X40" s="3">
        <v>17</v>
      </c>
      <c r="Y40" s="3">
        <v>18</v>
      </c>
      <c r="Z40" s="22">
        <v>19</v>
      </c>
      <c r="AA40" s="3">
        <v>20</v>
      </c>
      <c r="AB40" s="3">
        <v>21</v>
      </c>
      <c r="AC40" s="3">
        <v>22</v>
      </c>
      <c r="AD40" s="3">
        <v>23</v>
      </c>
      <c r="AE40" s="3">
        <v>24</v>
      </c>
      <c r="AF40" s="3">
        <v>25</v>
      </c>
      <c r="AG40" s="3">
        <v>26</v>
      </c>
      <c r="AH40" s="3">
        <v>27</v>
      </c>
      <c r="AI40" s="3">
        <v>28</v>
      </c>
      <c r="AJ40" s="3">
        <v>29</v>
      </c>
      <c r="AK40" s="4">
        <v>30</v>
      </c>
      <c r="AO40" s="5"/>
      <c r="AP40" s="6"/>
      <c r="AS40" s="18"/>
      <c r="AT40" s="19"/>
    </row>
    <row r="41" spans="7:46" ht="15" thickBot="1" x14ac:dyDescent="0.4">
      <c r="G41" s="5" t="s">
        <v>13</v>
      </c>
      <c r="H41">
        <v>0.422238</v>
      </c>
      <c r="I41">
        <v>0.41905599999999998</v>
      </c>
      <c r="J41">
        <v>0.41885</v>
      </c>
      <c r="K41">
        <v>0.42189399999999999</v>
      </c>
      <c r="L41">
        <v>0.42086000000000001</v>
      </c>
      <c r="M41">
        <v>0.41976599999999997</v>
      </c>
      <c r="N41">
        <v>0.41345399999999999</v>
      </c>
      <c r="O41">
        <v>0.420792</v>
      </c>
      <c r="P41">
        <v>0.42071199999999997</v>
      </c>
      <c r="Q41">
        <v>0.41470800000000002</v>
      </c>
      <c r="R41">
        <v>0.420344</v>
      </c>
      <c r="S41">
        <v>0.41836800000000002</v>
      </c>
      <c r="T41">
        <v>0.41885600000000001</v>
      </c>
      <c r="U41">
        <v>0.41805199999999998</v>
      </c>
      <c r="V41">
        <v>0.41742800000000002</v>
      </c>
      <c r="W41">
        <v>0.422518</v>
      </c>
      <c r="X41">
        <v>0.41620200000000002</v>
      </c>
      <c r="Y41">
        <v>0.41771000000000003</v>
      </c>
      <c r="Z41" s="22">
        <v>0.418406</v>
      </c>
      <c r="AA41" s="22">
        <v>0.41721999999999998</v>
      </c>
      <c r="AB41" s="22">
        <v>0.42065399999999997</v>
      </c>
      <c r="AC41" s="22">
        <v>0.41852400000000001</v>
      </c>
      <c r="AD41" s="22">
        <v>0.42201</v>
      </c>
      <c r="AE41" s="22">
        <v>0.42126599999999997</v>
      </c>
      <c r="AF41" s="22">
        <v>0.42007</v>
      </c>
      <c r="AG41" s="22">
        <v>0.41796</v>
      </c>
      <c r="AH41" s="22">
        <v>0.41783399999999998</v>
      </c>
      <c r="AI41" s="22">
        <v>0.42233199999999999</v>
      </c>
      <c r="AJ41" s="22">
        <v>0.41932999999999998</v>
      </c>
      <c r="AK41" s="6">
        <v>0.419908</v>
      </c>
      <c r="AO41" s="5" t="s">
        <v>12</v>
      </c>
      <c r="AP41" s="6">
        <f>SUM(H41:AK41)/30</f>
        <v>0.41924406666666669</v>
      </c>
      <c r="AS41" s="20" t="s">
        <v>16</v>
      </c>
      <c r="AT41" s="21">
        <f>_xlfn.STDEV.S(H41:AK41)</f>
        <v>2.1989969803390386E-3</v>
      </c>
    </row>
    <row r="42" spans="7:46" x14ac:dyDescent="0.35">
      <c r="G42" s="7" t="s">
        <v>4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9"/>
      <c r="AO42" s="7"/>
      <c r="AP42" s="9"/>
    </row>
    <row r="44" spans="7:46" x14ac:dyDescent="0.35">
      <c r="AO44" t="s">
        <v>14</v>
      </c>
      <c r="AP44">
        <f>AP38-AP41</f>
        <v>4.7369999999999357E-3</v>
      </c>
      <c r="AQ44" s="13" t="s">
        <v>15</v>
      </c>
      <c r="AR44" s="15" t="s">
        <v>18</v>
      </c>
      <c r="AT44" t="s">
        <v>17</v>
      </c>
    </row>
    <row r="45" spans="7:46" x14ac:dyDescent="0.35">
      <c r="AE45" s="14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</dc:creator>
  <cp:lastModifiedBy>Rasmus</cp:lastModifiedBy>
  <dcterms:created xsi:type="dcterms:W3CDTF">2026-01-19T11:53:34Z</dcterms:created>
  <dcterms:modified xsi:type="dcterms:W3CDTF">2026-01-22T12:06:41Z</dcterms:modified>
</cp:coreProperties>
</file>